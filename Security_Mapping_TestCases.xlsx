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irminds\Downloads\"/>
    </mc:Choice>
  </mc:AlternateContent>
  <xr:revisionPtr revIDLastSave="0" documentId="8_{738C7BFB-CFE2-4919-A472-6A0127F3C114}" xr6:coauthVersionLast="47" xr6:coauthVersionMax="47" xr10:uidLastSave="{00000000-0000-0000-0000-000000000000}"/>
  <bookViews>
    <workbookView xWindow="-120" yWindow="-120" windowWidth="25440" windowHeight="15270" firstSheet="16" activeTab="16" xr2:uid="{9E5428DE-A377-49E3-BA42-D74A148935A6}"/>
  </bookViews>
  <sheets>
    <sheet name="Sheet1" sheetId="2" r:id="rId1"/>
    <sheet name="Sheet2" sheetId="3" r:id="rId2"/>
    <sheet name="Test Results 24-apr-2026" sheetId="4" r:id="rId3"/>
    <sheet name="Test Results 30-apr-2026" sheetId="5" r:id="rId4"/>
    <sheet name="Test Results 6-may-2026" sheetId="6" r:id="rId5"/>
    <sheet name="Test Results 7May" sheetId="7" r:id="rId6"/>
    <sheet name="Test Results1 8May" sheetId="8" r:id="rId7"/>
    <sheet name="Test Results2 8May" sheetId="9" r:id="rId8"/>
    <sheet name="Test Results 11May (2)" sheetId="13" r:id="rId9"/>
    <sheet name="Test Results 11May" sheetId="10" r:id="rId10"/>
    <sheet name="Test Results 14May" sheetId="11" r:id="rId11"/>
    <sheet name="Test Results 18May" sheetId="12" r:id="rId12"/>
    <sheet name="Test Results 20May" sheetId="15" r:id="rId13"/>
    <sheet name="Test Results 20May (2)" sheetId="16" r:id="rId14"/>
    <sheet name="Test Results 21May" sheetId="17" r:id="rId15"/>
    <sheet name="Test Results 21May (2)" sheetId="18" r:id="rId16"/>
    <sheet name="Test Results 21May (3)" sheetId="19" r:id="rId17"/>
  </sheets>
  <definedNames>
    <definedName name="_xlnm._FilterDatabase" localSheetId="9" hidden="1">'Test Results 11May'!$A$9:$AE$9</definedName>
    <definedName name="_xlnm._FilterDatabase" localSheetId="8" hidden="1">'Test Results 11May (2)'!$A$9:$AE$9</definedName>
    <definedName name="_xlnm._FilterDatabase" localSheetId="11" hidden="1">'Test Results 18May'!$A$15:$AJ$15</definedName>
    <definedName name="_xlnm._FilterDatabase" localSheetId="12" hidden="1">'Test Results 20May'!$A$15:$AJ$111</definedName>
    <definedName name="_xlnm._FilterDatabase" localSheetId="13" hidden="1">'Test Results 20May (2)'!$A$15:$AJ$110</definedName>
    <definedName name="_xlnm._FilterDatabase" localSheetId="14" hidden="1">'Test Results 21May'!$A$15:$AJ$110</definedName>
    <definedName name="_xlnm._FilterDatabase" localSheetId="15" hidden="1">'Test Results 21May (2)'!$A$15:$AJ$110</definedName>
    <definedName name="_xlnm._FilterDatabase" localSheetId="16" hidden="1">'Test Results 21May (3)'!$A$15:$AJ$110</definedName>
    <definedName name="_xlnm._FilterDatabase" localSheetId="7" hidden="1">'Test Results2 8May'!$A$9:$AD$9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1" i="19" l="1"/>
  <c r="AJ11" i="19" s="1"/>
  <c r="AF14" i="19"/>
  <c r="AF12" i="19"/>
  <c r="AF11" i="19"/>
  <c r="AF13" i="19" s="1"/>
  <c r="AI14" i="19"/>
  <c r="AJ14" i="19" s="1"/>
  <c r="AI12" i="19"/>
  <c r="AG14" i="19"/>
  <c r="AG12" i="19"/>
  <c r="AG11" i="19"/>
  <c r="AG13" i="19" s="1"/>
  <c r="AQ2" i="19" a="1"/>
  <c r="AQ2" i="19" s="1"/>
  <c r="AF2" i="19" a="1"/>
  <c r="AQ2" i="18" a="1"/>
  <c r="AQ2" i="18"/>
  <c r="AI14" i="18"/>
  <c r="AG14" i="18"/>
  <c r="AF14" i="18"/>
  <c r="AI12" i="18"/>
  <c r="AG12" i="18"/>
  <c r="AF12" i="18"/>
  <c r="AI11" i="18"/>
  <c r="AI13" i="18" s="1"/>
  <c r="AG11" i="18"/>
  <c r="AG13" i="18" s="1"/>
  <c r="AF11" i="18"/>
  <c r="AF2" i="18" a="1"/>
  <c r="AG12" i="17"/>
  <c r="AG14" i="17"/>
  <c r="AI14" i="17"/>
  <c r="AF14" i="17"/>
  <c r="AI12" i="17"/>
  <c r="AF12" i="17"/>
  <c r="AI11" i="17"/>
  <c r="AI13" i="17" s="1"/>
  <c r="AG11" i="17"/>
  <c r="AF11" i="17"/>
  <c r="AQ2" i="17" a="1"/>
  <c r="AQ2" i="17" s="1"/>
  <c r="AF2" i="17" a="1"/>
  <c r="AQ2" i="16" a="1"/>
  <c r="AQ2" i="16"/>
  <c r="AF2" i="16" a="1"/>
  <c r="AF2" i="16"/>
  <c r="AS2" i="16" s="1"/>
  <c r="AI11" i="16"/>
  <c r="AL5" i="16"/>
  <c r="AM7" i="16"/>
  <c r="AM6" i="16"/>
  <c r="AM5" i="16"/>
  <c r="AG14" i="16"/>
  <c r="AG12" i="16"/>
  <c r="AG11" i="16"/>
  <c r="AG13" i="16"/>
  <c r="AG11" i="12"/>
  <c r="AG11" i="15"/>
  <c r="AG12" i="15"/>
  <c r="AF11" i="16"/>
  <c r="AI14" i="16"/>
  <c r="AF14" i="16"/>
  <c r="AI12" i="16"/>
  <c r="AF12" i="16"/>
  <c r="AI13" i="16"/>
  <c r="AF2" i="15" a="1"/>
  <c r="AF2" i="15"/>
  <c r="AF11" i="15"/>
  <c r="AH11" i="15"/>
  <c r="AI11" i="15"/>
  <c r="AJ11" i="15"/>
  <c r="AF12" i="15"/>
  <c r="AH12" i="15"/>
  <c r="AI12" i="15"/>
  <c r="AJ12" i="15"/>
  <c r="AF13" i="15"/>
  <c r="AG13" i="15"/>
  <c r="AH13" i="15"/>
  <c r="AI13" i="15"/>
  <c r="AJ13" i="15"/>
  <c r="AF14" i="15"/>
  <c r="AG14" i="15"/>
  <c r="AH14" i="15"/>
  <c r="AI14" i="15"/>
  <c r="AJ14" i="15"/>
  <c r="AH2" i="15"/>
  <c r="AI2" i="15"/>
  <c r="AJ2" i="15"/>
  <c r="AL2" i="15"/>
  <c r="AM2" i="15"/>
  <c r="AH3" i="15"/>
  <c r="AI3" i="15"/>
  <c r="AJ3" i="15"/>
  <c r="AL3" i="15"/>
  <c r="AM3" i="15"/>
  <c r="AH4" i="15"/>
  <c r="AI4" i="15"/>
  <c r="AJ4" i="15"/>
  <c r="AL4" i="15"/>
  <c r="AM4" i="15"/>
  <c r="AH5" i="15"/>
  <c r="AI5" i="15"/>
  <c r="AJ5" i="15"/>
  <c r="AL5" i="15"/>
  <c r="AM5" i="15"/>
  <c r="AH6" i="15"/>
  <c r="AI6" i="15"/>
  <c r="AJ6" i="15"/>
  <c r="AL6" i="15"/>
  <c r="AM6" i="15"/>
  <c r="AH7" i="15"/>
  <c r="AI7" i="15"/>
  <c r="AJ7" i="15"/>
  <c r="AL7" i="15"/>
  <c r="AM7" i="15"/>
  <c r="AD4" i="13"/>
  <c r="AC4" i="13"/>
  <c r="AD5" i="13"/>
  <c r="AD3" i="13"/>
  <c r="AD3" i="10"/>
  <c r="AC3" i="13"/>
  <c r="AC5" i="13"/>
  <c r="AE5" i="13" s="1"/>
  <c r="AE4" i="13"/>
  <c r="AD6" i="13"/>
  <c r="AF11" i="12"/>
  <c r="AF2" i="12" a="1"/>
  <c r="AF2" i="12"/>
  <c r="AF14" i="12"/>
  <c r="AG14" i="12"/>
  <c r="AI14" i="12"/>
  <c r="AH14" i="12"/>
  <c r="AJ14" i="12"/>
  <c r="AI12" i="12"/>
  <c r="AI11" i="12"/>
  <c r="AI13" i="12" s="1"/>
  <c r="AG12" i="12"/>
  <c r="AF12" i="12"/>
  <c r="AF3" i="11"/>
  <c r="AG3" i="11"/>
  <c r="AG4" i="11"/>
  <c r="AG5" i="11"/>
  <c r="AF6" i="11"/>
  <c r="AG6" i="11" s="1"/>
  <c r="AF5" i="11"/>
  <c r="AF4" i="11"/>
  <c r="AE6" i="11"/>
  <c r="AE5" i="11"/>
  <c r="AE4" i="11"/>
  <c r="AE3" i="11"/>
  <c r="AC5" i="10"/>
  <c r="AC4" i="10"/>
  <c r="AC3" i="10"/>
  <c r="AD5" i="10"/>
  <c r="AD4" i="10"/>
  <c r="AE3" i="10"/>
  <c r="AC4" i="9"/>
  <c r="AC5" i="9"/>
  <c r="AC6" i="10"/>
  <c r="AD6" i="10"/>
  <c r="AE5" i="10"/>
  <c r="AE4" i="10"/>
  <c r="AB2" i="9"/>
  <c r="AB1" i="9"/>
  <c r="AC2" i="9" s="1"/>
  <c r="AA4" i="9" a="1"/>
  <c r="AA4" i="9"/>
  <c r="AJ12" i="19" l="1"/>
  <c r="AI13" i="19"/>
  <c r="AJ13" i="19" s="1"/>
  <c r="AS7" i="19"/>
  <c r="AR7" i="19"/>
  <c r="AM7" i="19"/>
  <c r="AL7" i="19"/>
  <c r="AI7" i="19"/>
  <c r="AH7" i="19"/>
  <c r="AS6" i="19"/>
  <c r="AR6" i="19"/>
  <c r="AM6" i="19"/>
  <c r="AL6" i="19"/>
  <c r="AI6" i="19"/>
  <c r="AH6" i="19"/>
  <c r="AS5" i="19"/>
  <c r="AR5" i="19"/>
  <c r="AM5" i="19"/>
  <c r="AL5" i="19"/>
  <c r="AI5" i="19"/>
  <c r="AH5" i="19"/>
  <c r="AS4" i="19"/>
  <c r="AR4" i="19"/>
  <c r="AM4" i="19"/>
  <c r="AL4" i="19"/>
  <c r="AI4" i="19"/>
  <c r="AH4" i="19"/>
  <c r="AS3" i="19"/>
  <c r="AR3" i="19"/>
  <c r="AM3" i="19"/>
  <c r="AL3" i="19"/>
  <c r="AI3" i="19"/>
  <c r="AH3" i="19"/>
  <c r="AF2" i="19"/>
  <c r="AS2" i="19" s="1"/>
  <c r="AH11" i="19"/>
  <c r="AH12" i="19"/>
  <c r="AH14" i="19"/>
  <c r="AR5" i="18"/>
  <c r="AM5" i="18"/>
  <c r="AL5" i="18"/>
  <c r="AS7" i="18"/>
  <c r="AR7" i="18"/>
  <c r="AM7" i="18"/>
  <c r="AL7" i="18"/>
  <c r="AI7" i="18"/>
  <c r="AH7" i="18"/>
  <c r="AS6" i="18"/>
  <c r="AR6" i="18"/>
  <c r="AM6" i="18"/>
  <c r="AL6" i="18"/>
  <c r="AI6" i="18"/>
  <c r="AH6" i="18"/>
  <c r="AS5" i="18"/>
  <c r="AI5" i="18"/>
  <c r="AH5" i="18"/>
  <c r="AS4" i="18"/>
  <c r="AR4" i="18"/>
  <c r="AM4" i="18"/>
  <c r="AL4" i="18"/>
  <c r="AI4" i="18"/>
  <c r="AH4" i="18"/>
  <c r="AS3" i="18"/>
  <c r="AR3" i="18"/>
  <c r="AM3" i="18"/>
  <c r="AL3" i="18"/>
  <c r="AI3" i="18"/>
  <c r="AH3" i="18"/>
  <c r="AF2" i="18"/>
  <c r="AF13" i="18"/>
  <c r="AJ11" i="18"/>
  <c r="AH11" i="18"/>
  <c r="AJ12" i="18"/>
  <c r="AH12" i="18"/>
  <c r="AJ14" i="18"/>
  <c r="AH14" i="18"/>
  <c r="AS3" i="17"/>
  <c r="AS4" i="17"/>
  <c r="AS5" i="17"/>
  <c r="AR5" i="17"/>
  <c r="AI5" i="17"/>
  <c r="AI3" i="17"/>
  <c r="AG13" i="17"/>
  <c r="AS7" i="17"/>
  <c r="AR7" i="17"/>
  <c r="AM7" i="17"/>
  <c r="AL7" i="17"/>
  <c r="AI7" i="17"/>
  <c r="AH7" i="17"/>
  <c r="AS6" i="17"/>
  <c r="AR6" i="17"/>
  <c r="AM6" i="17"/>
  <c r="AL6" i="17"/>
  <c r="AI6" i="17"/>
  <c r="AH6" i="17"/>
  <c r="AM5" i="17"/>
  <c r="AL5" i="17"/>
  <c r="AH5" i="17"/>
  <c r="AR4" i="17"/>
  <c r="AM4" i="17"/>
  <c r="AL4" i="17"/>
  <c r="AI4" i="17"/>
  <c r="AH4" i="17"/>
  <c r="AR3" i="17"/>
  <c r="AM3" i="17"/>
  <c r="AL3" i="17"/>
  <c r="AH3" i="17"/>
  <c r="AF2" i="17"/>
  <c r="AF13" i="17"/>
  <c r="AJ11" i="17"/>
  <c r="AH11" i="17"/>
  <c r="AJ12" i="17"/>
  <c r="AH12" i="17"/>
  <c r="AJ14" i="17"/>
  <c r="AH14" i="17"/>
  <c r="AR2" i="16"/>
  <c r="AS3" i="16"/>
  <c r="AS4" i="16"/>
  <c r="AS5" i="16"/>
  <c r="AS6" i="16"/>
  <c r="AS7" i="16"/>
  <c r="AR3" i="16"/>
  <c r="AR4" i="16"/>
  <c r="AR5" i="16"/>
  <c r="AR6" i="16"/>
  <c r="AR7" i="16"/>
  <c r="AM4" i="16"/>
  <c r="AM3" i="16"/>
  <c r="AI7" i="16"/>
  <c r="AI6" i="16"/>
  <c r="AI5" i="16"/>
  <c r="AI4" i="16"/>
  <c r="AI3" i="16"/>
  <c r="AL7" i="16"/>
  <c r="AN7" i="16" s="1"/>
  <c r="AF13" i="16"/>
  <c r="AH7" i="16"/>
  <c r="AL6" i="16"/>
  <c r="AN6" i="16" s="1"/>
  <c r="AH6" i="16"/>
  <c r="AH5" i="16"/>
  <c r="AL4" i="16"/>
  <c r="AH4" i="16"/>
  <c r="AL3" i="16"/>
  <c r="AH3" i="16"/>
  <c r="AJ11" i="16"/>
  <c r="AH11" i="16"/>
  <c r="AJ12" i="16"/>
  <c r="AH12" i="16"/>
  <c r="AJ14" i="16"/>
  <c r="AH14" i="16"/>
  <c r="AC6" i="13"/>
  <c r="AE6" i="13" s="1"/>
  <c r="AE3" i="13"/>
  <c r="AM2" i="12"/>
  <c r="AL2" i="12"/>
  <c r="AH2" i="12"/>
  <c r="AM3" i="12"/>
  <c r="AM4" i="12"/>
  <c r="AM5" i="12"/>
  <c r="AM6" i="12"/>
  <c r="AM7" i="12"/>
  <c r="AL3" i="12"/>
  <c r="AL4" i="12"/>
  <c r="AL5" i="12"/>
  <c r="AL6" i="12"/>
  <c r="AL7" i="12"/>
  <c r="AH3" i="12"/>
  <c r="AH4" i="12"/>
  <c r="AH5" i="12"/>
  <c r="AH6" i="12"/>
  <c r="AH7" i="12"/>
  <c r="AJ12" i="12"/>
  <c r="AH12" i="12"/>
  <c r="AF13" i="12"/>
  <c r="AH11" i="12"/>
  <c r="AG13" i="12"/>
  <c r="AI2" i="12"/>
  <c r="AI3" i="12"/>
  <c r="AI4" i="12"/>
  <c r="AI5" i="12"/>
  <c r="AI6" i="12"/>
  <c r="AI7" i="12"/>
  <c r="AJ13" i="12"/>
  <c r="AH13" i="12"/>
  <c r="AJ11" i="12"/>
  <c r="AB4" i="9"/>
  <c r="AE6" i="10"/>
  <c r="AC6" i="9"/>
  <c r="AB5" i="9"/>
  <c r="AB6" i="9"/>
  <c r="AH13" i="19" l="1"/>
  <c r="AR2" i="19"/>
  <c r="AM2" i="19"/>
  <c r="AL2" i="19"/>
  <c r="AI2" i="19"/>
  <c r="AH2" i="19"/>
  <c r="AJ3" i="19"/>
  <c r="AN3" i="19"/>
  <c r="AT3" i="19"/>
  <c r="AJ4" i="19"/>
  <c r="AN4" i="19"/>
  <c r="AT4" i="19"/>
  <c r="AJ5" i="19"/>
  <c r="AT5" i="19"/>
  <c r="AJ6" i="19"/>
  <c r="AN6" i="19"/>
  <c r="AT6" i="19"/>
  <c r="AJ7" i="19"/>
  <c r="AN7" i="19"/>
  <c r="AT7" i="19"/>
  <c r="AJ13" i="18"/>
  <c r="AH13" i="18"/>
  <c r="AS2" i="18"/>
  <c r="AR2" i="18"/>
  <c r="AM2" i="18"/>
  <c r="AL2" i="18"/>
  <c r="AI2" i="18"/>
  <c r="AH2" i="18"/>
  <c r="AJ3" i="18"/>
  <c r="AN3" i="18"/>
  <c r="AT3" i="18"/>
  <c r="AJ4" i="18"/>
  <c r="AN4" i="18"/>
  <c r="AT4" i="18"/>
  <c r="AJ5" i="18"/>
  <c r="AT5" i="18"/>
  <c r="AJ6" i="18"/>
  <c r="AN6" i="18"/>
  <c r="AT6" i="18"/>
  <c r="AJ7" i="18"/>
  <c r="AN7" i="18"/>
  <c r="AT7" i="18"/>
  <c r="AS2" i="17"/>
  <c r="AI2" i="17"/>
  <c r="AJ13" i="17"/>
  <c r="AH13" i="17"/>
  <c r="AR2" i="17"/>
  <c r="AM2" i="17"/>
  <c r="AL2" i="17"/>
  <c r="AH2" i="17"/>
  <c r="AJ3" i="17"/>
  <c r="AN3" i="17"/>
  <c r="AT3" i="17"/>
  <c r="AJ4" i="17"/>
  <c r="AN4" i="17"/>
  <c r="AT4" i="17"/>
  <c r="AJ5" i="17"/>
  <c r="AT5" i="17"/>
  <c r="AJ6" i="17"/>
  <c r="AN6" i="17"/>
  <c r="AT6" i="17"/>
  <c r="AJ7" i="17"/>
  <c r="AN7" i="17"/>
  <c r="AT7" i="17"/>
  <c r="AT7" i="16"/>
  <c r="AT6" i="16"/>
  <c r="AT5" i="16"/>
  <c r="AT4" i="16"/>
  <c r="AT3" i="16"/>
  <c r="AT2" i="16"/>
  <c r="AJ3" i="16"/>
  <c r="AN3" i="16"/>
  <c r="AN4" i="16"/>
  <c r="AM2" i="16"/>
  <c r="AI2" i="16"/>
  <c r="AH2" i="16"/>
  <c r="AJ13" i="16"/>
  <c r="AH13" i="16"/>
  <c r="AL2" i="16"/>
  <c r="AJ4" i="16"/>
  <c r="AJ5" i="16"/>
  <c r="AJ6" i="16"/>
  <c r="AJ7" i="16"/>
  <c r="AJ7" i="12"/>
  <c r="AJ6" i="12"/>
  <c r="AJ5" i="12"/>
  <c r="AJ4" i="12"/>
  <c r="AJ3" i="12"/>
  <c r="AJ2" i="12"/>
  <c r="AD6" i="9"/>
  <c r="AD5" i="9"/>
  <c r="AD4" i="9"/>
  <c r="AJ2" i="19" l="1"/>
  <c r="AN2" i="19"/>
  <c r="AT2" i="19"/>
  <c r="AJ2" i="18"/>
  <c r="AN2" i="18"/>
  <c r="AT2" i="18"/>
  <c r="AJ2" i="17"/>
  <c r="AN2" i="17"/>
  <c r="AT2" i="17"/>
  <c r="AJ2" i="16"/>
  <c r="AN2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<sst xmlns="http://schemas.openxmlformats.org/spreadsheetml/2006/main" count="22328" uniqueCount="1611">
  <si>
    <t>SOI Name</t>
  </si>
  <si>
    <t>Mastercomp Family Name</t>
  </si>
  <si>
    <t>Mastercomp Security</t>
  </si>
  <si>
    <t>Mastercomp Loan Type</t>
  </si>
  <si>
    <t>Mastercomp Lien Type</t>
  </si>
  <si>
    <t>Borrower/Company/Issuer Name</t>
  </si>
  <si>
    <t>Security Name</t>
  </si>
  <si>
    <t>Loan/Asset Type</t>
  </si>
  <si>
    <t>loanxid</t>
  </si>
  <si>
    <t>Identifier</t>
  </si>
  <si>
    <t>Asset_Primary IDAssetID_Name</t>
  </si>
  <si>
    <t>Source file type</t>
  </si>
  <si>
    <t>target file type</t>
  </si>
  <si>
    <t>TestCase Catagory</t>
  </si>
  <si>
    <t>source_file_id</t>
  </si>
  <si>
    <t>target_file_id</t>
  </si>
  <si>
    <t>Events Buyer, LLC</t>
  </si>
  <si>
    <t>360DG</t>
  </si>
  <si>
    <t>360DG (Term Loan)</t>
  </si>
  <si>
    <t>First Lien Term Loan</t>
  </si>
  <si>
    <t>First Lien</t>
  </si>
  <si>
    <t>Events Buyer T/L</t>
  </si>
  <si>
    <t>Term Loan</t>
  </si>
  <si>
    <t>us bank cashfile</t>
  </si>
  <si>
    <t>mastercomp</t>
  </si>
  <si>
    <t>Company Match</t>
  </si>
  <si>
    <t>48FORTY INTERMEDIATE HOLDINGS, INC</t>
  </si>
  <si>
    <t>48Forty</t>
  </si>
  <si>
    <t>48Forty (Term Loan)</t>
  </si>
  <si>
    <t>48forty Intermediate Holdings, Inc.</t>
  </si>
  <si>
    <t>48Forty Intermediate Holdings C/S</t>
  </si>
  <si>
    <t>Security Match</t>
  </si>
  <si>
    <t>Ad.net Acquisition, LLC</t>
  </si>
  <si>
    <t>Ad.net</t>
  </si>
  <si>
    <t>Ad.net (Term Loan)</t>
  </si>
  <si>
    <t>Ad.net Acquisition T/L</t>
  </si>
  <si>
    <t>LX202597</t>
  </si>
  <si>
    <t>Aechelon Technology Inc.</t>
  </si>
  <si>
    <t>Aechelon</t>
  </si>
  <si>
    <t>Aechelon (Term Loan)</t>
  </si>
  <si>
    <t>Aechelon Technology  T/L</t>
  </si>
  <si>
    <t>AFC Industries</t>
  </si>
  <si>
    <t>AFC Acquisitions</t>
  </si>
  <si>
    <t>AFC Industries (DDTL)</t>
  </si>
  <si>
    <t>Delayed Draw Term Loan</t>
  </si>
  <si>
    <t>AFC-Dell Holding Corp.</t>
  </si>
  <si>
    <t>AFC-Dell Holding DD T/L (12/23)</t>
  </si>
  <si>
    <t>Delayed Draw Loan</t>
  </si>
  <si>
    <t>LX221800</t>
  </si>
  <si>
    <t>Company Knowledge Match</t>
  </si>
  <si>
    <t>AFC Industries (TL)</t>
  </si>
  <si>
    <t>AFC-Dell Holding T/L</t>
  </si>
  <si>
    <t>LX194354</t>
  </si>
  <si>
    <t>Burgess Point Purchaser Corporation</t>
  </si>
  <si>
    <t>BBB Industries</t>
  </si>
  <si>
    <t>BBB Industries (First Lien Term Loan)</t>
  </si>
  <si>
    <t>Burgess Point Purchaser Corporation (BBB)  T/L (06/22)</t>
  </si>
  <si>
    <t>LX205817</t>
  </si>
  <si>
    <t xml:space="preserve"> BLC Holding  Company,  Inc.</t>
  </si>
  <si>
    <t>Bland Landscaping</t>
  </si>
  <si>
    <t>Bland Landscaping (DDTL)</t>
  </si>
  <si>
    <t>BLC Holding Company, Inc.</t>
  </si>
  <si>
    <t>BLC Holding Company DD T/L</t>
  </si>
  <si>
    <t>The Bluebird Group LLC</t>
  </si>
  <si>
    <t>Bluebird</t>
  </si>
  <si>
    <t>Bluebird (Term Loan)</t>
  </si>
  <si>
    <t>Bluebird Group LLC, The</t>
  </si>
  <si>
    <t>Bluebird Group T/L</t>
  </si>
  <si>
    <t>The Aegis Technologies Group, LLC</t>
  </si>
  <si>
    <t>BlueHalo</t>
  </si>
  <si>
    <t>BlueHalo (Term Loan)</t>
  </si>
  <si>
    <t>Aegis Technologies Group, LLC, The</t>
  </si>
  <si>
    <t>Aegis Technologies Group (BlueHalo) 4th Amend T/L</t>
  </si>
  <si>
    <t>LX189087</t>
  </si>
  <si>
    <t>BlueHalo Global Holdings, LLC</t>
  </si>
  <si>
    <t>BlueHalo Global (Aegis) T/L 4th Amend  **DUPLICATE - PLEASE USE BL0623316**</t>
  </si>
  <si>
    <t>By Light Professional IT Services, LLC - Unfunded Revolver</t>
  </si>
  <si>
    <t>By Light</t>
  </si>
  <si>
    <t>By Light (Revolver)</t>
  </si>
  <si>
    <t>Revolver</t>
  </si>
  <si>
    <t>By Light Professional IT Services LLC</t>
  </si>
  <si>
    <t>By Light Professional R/C 2</t>
  </si>
  <si>
    <t>Revolving Loan</t>
  </si>
  <si>
    <t>Lightspeed Buyer Inc. - Funded Revolver</t>
  </si>
  <si>
    <t>Centauri Health</t>
  </si>
  <si>
    <t>Centauri Health (Revolver)</t>
  </si>
  <si>
    <t>Lightspeed Buyer, Inc.</t>
  </si>
  <si>
    <t>Lightspeed Buyer VT1 R/C</t>
  </si>
  <si>
    <t>Dr. Squatch, LLC - Term Loan</t>
  </si>
  <si>
    <t>Dr. Squatch</t>
  </si>
  <si>
    <t>Dr. Squatch (Term Loan)</t>
  </si>
  <si>
    <t>Dr. Squatch, LLC</t>
  </si>
  <si>
    <t>Dr. Squatch T/L</t>
  </si>
  <si>
    <t>LX197743</t>
  </si>
  <si>
    <t>GGG Midco, LLC</t>
  </si>
  <si>
    <t>Guild Garage Group</t>
  </si>
  <si>
    <t>Guild Garage Group (DDTL)</t>
  </si>
  <si>
    <t>GGG Midco DD T/L</t>
  </si>
  <si>
    <t>LX249162</t>
  </si>
  <si>
    <t>Infinity Home Services Holdco, Inc. - Delayed Draw Term Loan</t>
  </si>
  <si>
    <t>Infinity Home Services</t>
  </si>
  <si>
    <t>Infinity Home Services (DDTL)</t>
  </si>
  <si>
    <t>Infinity Home Services Holdco, Inc</t>
  </si>
  <si>
    <t>Infinity Home Services Holdco Amend. 1 DD T/L</t>
  </si>
  <si>
    <t>LX219880</t>
  </si>
  <si>
    <t>Lash Opco, LLC - Term Loan</t>
  </si>
  <si>
    <t>Lilly Lashes</t>
  </si>
  <si>
    <t>Lilly Lashes (TL)</t>
  </si>
  <si>
    <t>Lash Opco, LLC</t>
  </si>
  <si>
    <t>Lash Opco Restatement T/L--MC178414</t>
  </si>
  <si>
    <t>LX201224</t>
  </si>
  <si>
    <t>OSP EMBEDDED PURCHASER, LLC</t>
  </si>
  <si>
    <t>Lynx Technologies</t>
  </si>
  <si>
    <t>Lynx Technologies (TL)</t>
  </si>
  <si>
    <t>OSP Embedded Purchaser Incremental T/L (11/24)</t>
  </si>
  <si>
    <t>Anteriad, LLC (f/k/a MeritDirect, LLC)</t>
  </si>
  <si>
    <t>MeritDirect</t>
  </si>
  <si>
    <t>MeritDirect (Term Loan)</t>
  </si>
  <si>
    <t>Anteriad, LLC</t>
  </si>
  <si>
    <t>Anteriad (MeritDirect) Incremental T/L B</t>
  </si>
  <si>
    <t>LX211755</t>
  </si>
  <si>
    <t>MeritDirect, LLC</t>
  </si>
  <si>
    <t>MeritDirect T/L A (MeritB2B/Anteriad)</t>
  </si>
  <si>
    <t>LX202363</t>
  </si>
  <si>
    <t>Output Services Group, Inc.</t>
  </si>
  <si>
    <t>OSG Billing Services</t>
  </si>
  <si>
    <t>OSG (Common Equity)</t>
  </si>
  <si>
    <t>Common Equity</t>
  </si>
  <si>
    <t>OSG Topco Holdings LLC - Class A Unit</t>
  </si>
  <si>
    <t>Pragmatic Holdings Group LP</t>
  </si>
  <si>
    <t>Pragmatic Institute</t>
  </si>
  <si>
    <t>Pragmatic Institute (Common)</t>
  </si>
  <si>
    <t>Pragmatic Institute, LLC</t>
  </si>
  <si>
    <t>Pragmatic Institute C/S (03/25)</t>
  </si>
  <si>
    <t>Paving Lessor Corp.</t>
  </si>
  <si>
    <t>C&amp;K Paving Contractors</t>
  </si>
  <si>
    <t>C&amp;K Paving Contractors (Term Loan)</t>
  </si>
  <si>
    <t>Paving Lessor Initial T/L</t>
  </si>
  <si>
    <t>Lightspeed Buyer Inc.</t>
  </si>
  <si>
    <t>Centauri Health (TL)</t>
  </si>
  <si>
    <t>Lightspeed Buyer T/L</t>
  </si>
  <si>
    <t>LX255973</t>
  </si>
  <si>
    <t>NFS-CFP Holdings LLC</t>
  </si>
  <si>
    <t>Commercial Fire Protection</t>
  </si>
  <si>
    <t>Commercial Fire Protection (Term Loan)</t>
  </si>
  <si>
    <t>NFS - CFP Holdings LLC</t>
  </si>
  <si>
    <t>NFS - CFP Holdings Incremental T/L</t>
  </si>
  <si>
    <t>DRS Holdings III, Inc.</t>
  </si>
  <si>
    <t>Dr. Scholl's</t>
  </si>
  <si>
    <t>Dr. Scholl's (Term Loan)</t>
  </si>
  <si>
    <t>DRS Holdings III Amendment No. 4 Incremental T/L</t>
  </si>
  <si>
    <t>LX260774</t>
  </si>
  <si>
    <t>Fairbanks Morse Defense</t>
  </si>
  <si>
    <t>Fairbanks Morse Defense (Term Loan)</t>
  </si>
  <si>
    <t>Arcline FM Holdings LLC</t>
  </si>
  <si>
    <t>Arcline FM Holdings T/L (7/24) (Fairbanks Morse) - Target</t>
  </si>
  <si>
    <t>LX238496</t>
  </si>
  <si>
    <t>Management Consulting &amp; Research, LLC</t>
  </si>
  <si>
    <t>MCR</t>
  </si>
  <si>
    <t>MCR (Term Loan)</t>
  </si>
  <si>
    <t>Management Consulting &amp; Research T/L (Systems Planning and Analysis)</t>
  </si>
  <si>
    <t>LX201381</t>
  </si>
  <si>
    <t>Planview Parent, Inc.</t>
  </si>
  <si>
    <t>Planview</t>
  </si>
  <si>
    <t>Planview (TL)</t>
  </si>
  <si>
    <t>PlayPower, Inc.</t>
  </si>
  <si>
    <t>PlayPower T/L (5/19)</t>
  </si>
  <si>
    <t>LX179874</t>
  </si>
  <si>
    <t>PlayPower</t>
  </si>
  <si>
    <t>PlayPower (Term Loan)</t>
  </si>
  <si>
    <t>PlayPower T/L (08/24)</t>
  </si>
  <si>
    <t>LX240833</t>
  </si>
  <si>
    <t>Bellwether Media, LLC</t>
  </si>
  <si>
    <t>The Creative Group</t>
  </si>
  <si>
    <t>The Creative Group (Term Loan)</t>
  </si>
  <si>
    <t>The Track Branson Opco, LLC</t>
  </si>
  <si>
    <t>The Track Branson Opco DDTL</t>
  </si>
  <si>
    <t>360DG (DDTL A)</t>
  </si>
  <si>
    <t>Sath Industries LLC</t>
  </si>
  <si>
    <t>Delayed Draw Term Loan (360DG)</t>
  </si>
  <si>
    <t>watc_holdings</t>
  </si>
  <si>
    <t>48Forty (Common Equity)</t>
  </si>
  <si>
    <t>48Forty Intermediate Holdings Inc</t>
  </si>
  <si>
    <t>48forty Common Equity</t>
  </si>
  <si>
    <t>LAV Gear Holdings, Inc.</t>
  </si>
  <si>
    <t>4Wall Entertainment</t>
  </si>
  <si>
    <t>4Wall Entertainment (Term Loan)</t>
  </si>
  <si>
    <t>LAV Gear Holdings Inc</t>
  </si>
  <si>
    <t>Fourteenth Amendment Priority Term Loan</t>
  </si>
  <si>
    <t>Initial Term Loan</t>
  </si>
  <si>
    <t>Big Top Holdings, LLC</t>
  </si>
  <si>
    <t>Big Top Manufacturing</t>
  </si>
  <si>
    <t>Big Top Manufacturing (Term Loan)</t>
  </si>
  <si>
    <t>Big Top Holdings LLC</t>
  </si>
  <si>
    <t>BlueHalo Global Holdings LLC</t>
  </si>
  <si>
    <t>ACP Falcon Buyer, Inc.</t>
  </si>
  <si>
    <t>Integrated Data Services</t>
  </si>
  <si>
    <t>Integrated Data Services (TL)</t>
  </si>
  <si>
    <t>ACP Falcon Buyer Inc</t>
  </si>
  <si>
    <t>Kinetic Purchaser, LLC</t>
  </si>
  <si>
    <t>KNS</t>
  </si>
  <si>
    <t>KNS (Term Loan)</t>
  </si>
  <si>
    <t>Kinetic Purchaser LLC</t>
  </si>
  <si>
    <t>Closing Date Term Loan</t>
  </si>
  <si>
    <t>Radius Aerospace, Inc.</t>
  </si>
  <si>
    <t>Radius Aerospace</t>
  </si>
  <si>
    <t>Radius Aerospace (Term Loan)</t>
  </si>
  <si>
    <t>Radius Aerospace Inc</t>
  </si>
  <si>
    <t>UK Term Loan</t>
  </si>
  <si>
    <t>RRA CORPORATE, LLC</t>
  </si>
  <si>
    <t>Roofed Right America</t>
  </si>
  <si>
    <t>Roofed Right America (Term Loan)</t>
  </si>
  <si>
    <t>RRA Corporate LLC</t>
  </si>
  <si>
    <t>A1 GARAGE MERGER SUB, LLC</t>
  </si>
  <si>
    <t>A1 Garage</t>
  </si>
  <si>
    <t>A1 Garage (DDTL)</t>
  </si>
  <si>
    <t>TMII Enterprises LLC</t>
  </si>
  <si>
    <t>DDTL</t>
  </si>
  <si>
    <t>A1 Garage (Term Loan)</t>
  </si>
  <si>
    <t>Term Loan A</t>
  </si>
  <si>
    <t>AERONIX, INC.</t>
  </si>
  <si>
    <t>Aeronix</t>
  </si>
  <si>
    <t>Aeronix (TL)</t>
  </si>
  <si>
    <t>SV-Aero Holdings LLC</t>
  </si>
  <si>
    <t xml:space="preserve">DRS Holdings III, Inc. </t>
  </si>
  <si>
    <t>DRS Holdings III Inc</t>
  </si>
  <si>
    <t>3/25 Term Loan</t>
  </si>
  <si>
    <t xml:space="preserve"> Management Consulting &amp; Research, LLC </t>
  </si>
  <si>
    <t>Systems Planning and Analysis Inc</t>
  </si>
  <si>
    <t>Delayed Draw Term Loan A</t>
  </si>
  <si>
    <t>Northwinds Services Group LLC</t>
  </si>
  <si>
    <t>Northwinds</t>
  </si>
  <si>
    <t>Northwinds (Common Equity)</t>
  </si>
  <si>
    <t>North American Rail Solutions</t>
  </si>
  <si>
    <t>USD Term Loan</t>
  </si>
  <si>
    <t xml:space="preserve"> Holdco Sands Intermediate, LLC </t>
  </si>
  <si>
    <t>Smartronix / Trident</t>
  </si>
  <si>
    <t>Smartronix / Trident (TL)</t>
  </si>
  <si>
    <t>SMX Group LLC</t>
  </si>
  <si>
    <t>Term Loan (Smartronix/Trident)</t>
  </si>
  <si>
    <t>Reception Purchaser, LLC</t>
  </si>
  <si>
    <t>STG Logistics</t>
  </si>
  <si>
    <t>STG (TL)</t>
  </si>
  <si>
    <t>STG Distribution LLC</t>
  </si>
  <si>
    <t>First Out New Money Term Loan</t>
  </si>
  <si>
    <t>Zips Car Wash, LLC</t>
  </si>
  <si>
    <t>Zips</t>
  </si>
  <si>
    <t>Zips (Rollup DIP Term Loan)</t>
  </si>
  <si>
    <t>Zips Car Wash LLC</t>
  </si>
  <si>
    <t>Roll Up Term Loan</t>
  </si>
  <si>
    <t>First Lien - Term Loan - 12th Amend. - Priority FOTL</t>
  </si>
  <si>
    <t>LX258942</t>
  </si>
  <si>
    <t>market_value</t>
  </si>
  <si>
    <t>A1 Garage Equity, LLC</t>
  </si>
  <si>
    <t>A1 Garage (Common Equity)</t>
  </si>
  <si>
    <t>Archer Lewis LLC</t>
  </si>
  <si>
    <t>Archer Lewis</t>
  </si>
  <si>
    <t>Archer Lewis (Revolver)</t>
  </si>
  <si>
    <t xml:space="preserve">Archer Lewis, LLC </t>
  </si>
  <si>
    <t>First Lien - Revolver - Revolver</t>
  </si>
  <si>
    <t>LX245456</t>
  </si>
  <si>
    <t>Beta Plus Technologies, Inc.</t>
  </si>
  <si>
    <t>Beta+</t>
  </si>
  <si>
    <t>Beta+ (TL)</t>
  </si>
  <si>
    <t>LX206113</t>
  </si>
  <si>
    <t>HPA SPQ Buyer, Inc. - Term Loan</t>
  </si>
  <si>
    <t>Sparq</t>
  </si>
  <si>
    <t>Sparq (TL)</t>
  </si>
  <si>
    <t>Rural Sourcing Holdings, Inc.</t>
  </si>
  <si>
    <t>Amendment No. 1 Incremental Term Loans</t>
  </si>
  <si>
    <t xml:space="preserve">TCG 3.0 JOGGER ACQUISITIONCO, INC. </t>
  </si>
  <si>
    <t>BiggerPockets</t>
  </si>
  <si>
    <t>BiggerPockets (Revolver)</t>
  </si>
  <si>
    <t>TCG 3.0 Jogger Acquisitionco, Inc.</t>
  </si>
  <si>
    <t xml:space="preserve">Carnegie Dartlet LLC </t>
  </si>
  <si>
    <t>Carnegie Dartlet</t>
  </si>
  <si>
    <t>Carnegie Dartlet (DDTL)</t>
  </si>
  <si>
    <t>Carnegie Dartlet, LLC</t>
  </si>
  <si>
    <t>First Lien - DDTL - DDTL</t>
  </si>
  <si>
    <t>MEDINA HEALTH, LLC</t>
  </si>
  <si>
    <t>Comprehensive Rehab Consultants</t>
  </si>
  <si>
    <t>Comprehensive Rehab Consultants (Revolver)</t>
  </si>
  <si>
    <t>Medina Health, LLC</t>
  </si>
  <si>
    <t>LX218965</t>
  </si>
  <si>
    <t>GAUGE ETE BLOCKER LLC</t>
  </si>
  <si>
    <t>Engine &amp; Transmission Exchange</t>
  </si>
  <si>
    <t>Engine &amp; Transmission Exchange (Common Equity)</t>
  </si>
  <si>
    <t>EDS Topco, LLC</t>
  </si>
  <si>
    <t>Epiq</t>
  </si>
  <si>
    <t>Epiq (Common)</t>
  </si>
  <si>
    <t>EDS TOPCO, LP</t>
  </si>
  <si>
    <t>ENC Parent Corporation</t>
  </si>
  <si>
    <t>Evans Network</t>
  </si>
  <si>
    <t>Evans Network (1L)</t>
  </si>
  <si>
    <t>Initial Term Loan (First Lien)</t>
  </si>
  <si>
    <t>LX196636</t>
  </si>
  <si>
    <t>Best Practice Associates LLC</t>
  </si>
  <si>
    <t>Federal Advisory Partners</t>
  </si>
  <si>
    <t>Federal Advisory Partners (First Lien Term Loan)</t>
  </si>
  <si>
    <t>Best Practice Associates, LLC</t>
  </si>
  <si>
    <t>First Lien - Term Loan</t>
  </si>
  <si>
    <t>LX253833</t>
  </si>
  <si>
    <t>Infinity Home Services Holdco, Inc. - Revolver</t>
  </si>
  <si>
    <t>Infinity Home Services (Revolver)</t>
  </si>
  <si>
    <t>Infinity Home Services Holdco, Inc.</t>
  </si>
  <si>
    <t>LX210067</t>
  </si>
  <si>
    <t>MidOcean JF Holdings Corp. (TL)</t>
  </si>
  <si>
    <t>Jones &amp; Frank</t>
  </si>
  <si>
    <t>Jones &amp; Frank (TL)</t>
  </si>
  <si>
    <t>MidOcean JF Holdings Corp.</t>
  </si>
  <si>
    <t>5th Amendment Term Loan</t>
  </si>
  <si>
    <t>LX227041</t>
  </si>
  <si>
    <t>master_ratings</t>
  </si>
  <si>
    <t>SV-Aero Holdings, LLC</t>
  </si>
  <si>
    <t>Aeronix (Common Equity)</t>
  </si>
  <si>
    <t>Any Hour Services - Unfunded Term Loan II</t>
  </si>
  <si>
    <t>Any Hour Services</t>
  </si>
  <si>
    <t>Any Hour Services (DDTL II)</t>
  </si>
  <si>
    <t>KL Stockton Co-Invest LP (Any Hour Services)</t>
  </si>
  <si>
    <t>Any Hour Services (Common Equity)</t>
  </si>
  <si>
    <t>ITC Rumba, LLC - Unfunded (Cano Health, LLC)</t>
  </si>
  <si>
    <t>Cano Health</t>
  </si>
  <si>
    <t>Cano Health (Equity)</t>
  </si>
  <si>
    <t>Ignore this record as family name is not present for this</t>
  </si>
  <si>
    <t>DRS Holdings III, Inc. - Unfunded Revolver</t>
  </si>
  <si>
    <t>Dr. Scholl's (Revolver)</t>
  </si>
  <si>
    <t>Infinity Home Services Holdco, Inc. (CAD)</t>
  </si>
  <si>
    <t>NEPRT Parent Holdings, LLC</t>
  </si>
  <si>
    <t>Recteq</t>
  </si>
  <si>
    <t>Recteq (Equity)</t>
  </si>
  <si>
    <t>HV Watterson Holdings, LLC - Unfunded Revolver</t>
  </si>
  <si>
    <t>Watterson</t>
  </si>
  <si>
    <t>Watterson (Revolver)</t>
  </si>
  <si>
    <t>HV Watterson Holdings, LLC</t>
  </si>
  <si>
    <t>consolidated_soi</t>
  </si>
  <si>
    <t>Watchtower Buyer</t>
  </si>
  <si>
    <t>Watchtower Buyer (Revolver)</t>
  </si>
  <si>
    <t>Watchtower Buyer, LLC</t>
  </si>
  <si>
    <t>Watchtower Buyer, LLC - Unfunded Revolver</t>
  </si>
  <si>
    <t>UniVista Insurance</t>
  </si>
  <si>
    <t>UniVista</t>
  </si>
  <si>
    <t>UniVista (Equity)</t>
  </si>
  <si>
    <t>Univista Insurance - Common Equity</t>
  </si>
  <si>
    <t>PROJECT GRANITE BUYER, INC</t>
  </si>
  <si>
    <t>Tranzact</t>
  </si>
  <si>
    <t>Tranzact (Term Loan)</t>
  </si>
  <si>
    <t>Project Granite Buyer, Inc.</t>
  </si>
  <si>
    <t>Project Granite Buyer, Inc. - Unfunded Term Loan</t>
  </si>
  <si>
    <t xml:space="preserve">Aftermarket Drivetrain Products Holdings, LLC </t>
  </si>
  <si>
    <t>TransGo</t>
  </si>
  <si>
    <t>TransGo (Equity)</t>
  </si>
  <si>
    <t>TransGo, LLC</t>
  </si>
  <si>
    <t>Aftermarket Drivetrain Products Holdings, LLC - Common Equity</t>
  </si>
  <si>
    <t xml:space="preserve"> RECEPTION PURCHASER, LLC</t>
  </si>
  <si>
    <t>STG Distribution, LLC</t>
  </si>
  <si>
    <t>STG Distribution, LLC - Second Out Term Loans</t>
  </si>
  <si>
    <t>HPA SPQ Buyer, Inc. - Revolver</t>
  </si>
  <si>
    <t>Sparq (Revolver)</t>
  </si>
  <si>
    <t>Rural Sourcing Holdings, Inc. - Unfunded Revolver</t>
  </si>
  <si>
    <t>Gauge Schlesinger Coinvest LLC</t>
  </si>
  <si>
    <t>Schlesinger</t>
  </si>
  <si>
    <t>Schlesinger (Equity)</t>
  </si>
  <si>
    <t>Schlesinger Global, Inc.</t>
  </si>
  <si>
    <t>Gauge Schlesinger Coinvest, LLC - Common Equity</t>
  </si>
  <si>
    <t xml:space="preserve">Pacific Purchaser, LLC </t>
  </si>
  <si>
    <t>ProSearch</t>
  </si>
  <si>
    <t>ProSearch (TL)</t>
  </si>
  <si>
    <t>Pacific Purchaser, LLC</t>
  </si>
  <si>
    <t>Pacific Purchaser, LLC - Unfunded Revolver</t>
  </si>
  <si>
    <t>Aechelon (Common Equity)</t>
  </si>
  <si>
    <t>Aechelon Technology, Inc.</t>
  </si>
  <si>
    <t>Aechelon InvestCo, LP - Common Equity</t>
  </si>
  <si>
    <t>daily_long_short</t>
  </si>
  <si>
    <t xml:space="preserve">TCG 3.0 Jogger Co-Invest, LP </t>
  </si>
  <si>
    <t>BiggerPockets (Common Equity)</t>
  </si>
  <si>
    <t>TCG 3.0 Jogger Co-Invest, LP - Common Equity</t>
  </si>
  <si>
    <t>C5MI Holdco, LLC</t>
  </si>
  <si>
    <t>C5MI</t>
  </si>
  <si>
    <t>C5MI (Preferred Equity)</t>
  </si>
  <si>
    <t>Preferred Equity</t>
  </si>
  <si>
    <t>C5MI Acquisition, LLC</t>
  </si>
  <si>
    <t>Knexus Holdco, LLC - Preferred Equity</t>
  </si>
  <si>
    <t>Connatix Parent, LLC</t>
  </si>
  <si>
    <t>Connatix</t>
  </si>
  <si>
    <t>Connatix (Common Equity)</t>
  </si>
  <si>
    <t>Connatix Buyer, Inc.</t>
  </si>
  <si>
    <t>Connatix Parent, LLC - Common Equity</t>
  </si>
  <si>
    <t>Connatix Parent, LLC - Preferred Equity</t>
  </si>
  <si>
    <t>RFMG Parent, LP</t>
  </si>
  <si>
    <t>Rancho Medical</t>
  </si>
  <si>
    <t>Rancho (Equity)</t>
  </si>
  <si>
    <t>Rancho Health MSO, Inc.</t>
  </si>
  <si>
    <t>RFMG Parent, LP - Common Equity</t>
  </si>
  <si>
    <t>Project Granite Holdings, LLC</t>
  </si>
  <si>
    <t>Tranzact (Common Equity)</t>
  </si>
  <si>
    <t>Project Granite Holdings, LLC - Common Equity</t>
  </si>
  <si>
    <t>NXOF Holdings, Inc. (Tyto Athene, LLC) (Common)</t>
  </si>
  <si>
    <t>Tyto Athene</t>
  </si>
  <si>
    <t>Tyto Athene (Equity)</t>
  </si>
  <si>
    <t>Tyto Athene, LLC</t>
  </si>
  <si>
    <t>NXOF Holdings, Inc. - Common Equity</t>
  </si>
  <si>
    <t>NXOF Holdings, Inc. (Tyto Athene, LLC) (Preferred)</t>
  </si>
  <si>
    <t>Tyto Athene (Pref)</t>
  </si>
  <si>
    <t>NXOF Holdings, Inc. - Preferred Equity</t>
  </si>
  <si>
    <t>TWD Parent Holdings, LLC - Common Equity</t>
  </si>
  <si>
    <t>Vertex</t>
  </si>
  <si>
    <t>Vertex (Common Equity)</t>
  </si>
  <si>
    <t>The Vertex Companies, LLC</t>
  </si>
  <si>
    <t>TWD Parent Holdings, LLC - Preferred Equity</t>
  </si>
  <si>
    <t>Vertex (Preferred Equity)</t>
  </si>
  <si>
    <t>Watchtower Holdings</t>
  </si>
  <si>
    <t>Watchtower Holding (Common Equity)</t>
  </si>
  <si>
    <t>Watchtower Holdings, LLC - Common Equity</t>
  </si>
  <si>
    <t>HV Watterson Holdings, LLC (Common)</t>
  </si>
  <si>
    <t>Watterson (Equity)</t>
  </si>
  <si>
    <t>HV Watterson Holdings, LLC - Common Equity</t>
  </si>
  <si>
    <t>Description</t>
  </si>
  <si>
    <t>Direct Match</t>
  </si>
  <si>
    <t>Exact Match of security names</t>
  </si>
  <si>
    <t>Match of Family Name, SOI Name</t>
  </si>
  <si>
    <t>Neo4J</t>
  </si>
  <si>
    <t>File Security Match</t>
  </si>
  <si>
    <t>Relative matching between securities from different source file</t>
  </si>
  <si>
    <t>Test Summary</t>
  </si>
  <si>
    <t>Total Cases: 99
Top-1 Accuracy: 59.60%
Top-5 Accuracy: 85.86%</t>
  </si>
  <si>
    <t>Date</t>
  </si>
  <si>
    <t>Only considering score from elastic search, pass -&gt; expected is best match</t>
  </si>
  <si>
    <t>Results</t>
  </si>
  <si>
    <t>Next step</t>
  </si>
  <si>
    <t>Master data</t>
  </si>
  <si>
    <t>Input data</t>
  </si>
  <si>
    <t>Test Results</t>
  </si>
  <si>
    <t>Security Name (Input 1)</t>
  </si>
  <si>
    <t>Input</t>
  </si>
  <si>
    <t>Expected Match</t>
  </si>
  <si>
    <t>ES Best match</t>
  </si>
  <si>
    <t>ES candidate rank</t>
  </si>
  <si>
    <t>Comments</t>
  </si>
  <si>
    <t xml:space="preserve">Raw ES Score </t>
  </si>
  <si>
    <t>Scaled ES score</t>
  </si>
  <si>
    <t>Top matches</t>
  </si>
  <si>
    <t>Marketplace Events (DDTL)</t>
  </si>
  <si>
    <t>Expected match not in Topk</t>
  </si>
  <si>
    <t>Marketplace Events (DDTL) | Marketplace Events (USD Term Loan) | Marketplace Events (CAD Term Loan) | Marketplace Events (Equity) | Marketplace Events (Revolver)</t>
  </si>
  <si>
    <t>48Forty (Common Equity) | 48Forty (Term Loan) | 48Forty (DDTL) | MeritDirect (Common Equity) | RTIC (Preferred Equity C)</t>
  </si>
  <si>
    <t>Ad.net (Term Loan) | 48Forty (DDTL) | Ad.net (Common Equity) | Ad.net (Preferred Equity) | Ad.net (Revolver)</t>
  </si>
  <si>
    <t>Aechelon Technology T/L</t>
  </si>
  <si>
    <t>Aechelon (Term Loan) | Aechelon (Common Equity) | Aechelon (Revolver) | Recteq (TL) | Vertex (DDTL)</t>
  </si>
  <si>
    <t>AFC Industries (DDTL) | Research Horizons (DDTL) | Kentucky Downs (DDTL A) | AFC Industries (Common Equity) | AFC Industries (TL)</t>
  </si>
  <si>
    <t>AFC Industries (TL) | AFC Industries (DDTL) | Summit Companies (DDTL) | AFC Industries (Common Equity) | Signature Systems Group (TL II)</t>
  </si>
  <si>
    <t>Burgess Point Purchaser Corporation (BBB) T/L (06/22)</t>
  </si>
  <si>
    <t>BBB Industries (First Lien Term Loan) | BBB Industries (Second Lien Term Loan) | Vision Integrated (TL) | BBB Industries (Common Equity) | Tensar</t>
  </si>
  <si>
    <t>Research Horizons (DDTL)</t>
  </si>
  <si>
    <t>Research Horizons (DDTL) | Kentucky Downs (DDTL A) | Kentucky Downs (DDTL B) | Infinity Home Services (DDTL) | Bland Landscaping (Revolver)</t>
  </si>
  <si>
    <t>Bluebird (Term Loan) | OSG (DDTL) | Bluebird (Revolver) | Recteq (TL) | Vertex (DDTL)</t>
  </si>
  <si>
    <t>BlueHalo (Term Loan) | OSG (DDTL) | Altamira (TL) | Nuvei (Term Loan) | Aspect Software (First Lien Fourth Out)</t>
  </si>
  <si>
    <t>BlueHalo Global (Aegis) T/L 4th Amend **DUPLICATE - PLEASE USE BL0623316**</t>
  </si>
  <si>
    <t>BlueHalo (Term Loan) | Schlesinger (DDTL) | Schlesinger (Term Loan) | Recteq (TL) | Aspect Software (First Lien Fourth Out)</t>
  </si>
  <si>
    <t>By Light (Revolver) | By Light (Term Loan) | By Light (Equity) | By Light (HoldCo Note) | By Light (DDTL)</t>
  </si>
  <si>
    <t>Centauri Health (Revolver) | Connatix (Revolver) | Centauri Health (TL) | Centauri Health (DDTL) | Centauri Health (Equity)</t>
  </si>
  <si>
    <t>Dr. Squatch (Term Loan) | Dr. Squatch (DDTL) | Dr. Scholl's (Term Loan) | Dr. Squatch (Revolver) | Dr. Scholl's (Revolver)</t>
  </si>
  <si>
    <t>Research Horizons (DDTL) | Guild Garage Group (DDTL) | Kentucky Downs (DDTL A) | Guild Garage Group (Revolver) | Guild Garage Group (Term Loan)</t>
  </si>
  <si>
    <t>Infinity Home Services (DDTL) | Infinity Home Services (DDTL) CAD | Infinity Home Services (Revolver) | Infinity Home Services (Common Equity) | Infinity Home Services (Term Loan)</t>
  </si>
  <si>
    <t>Lilly Lashes (TL) | APT Healthcare (Term Loan) | Lilly Lashes (Equity) | Lilly Lashes (Revolver) | APT Healthcare (Common Equity)</t>
  </si>
  <si>
    <t>Lynx Technologies (TL) | Prelude (Incremental Term Loan) | Lynx Technologies (Common Equity) | PAR Excellence (Common Equity) | Lynx Technologies (Revolver)</t>
  </si>
  <si>
    <t>Prelude (Incremental Term Loan)</t>
  </si>
  <si>
    <t>Prelude (Incremental Term Loan) | Sigma Defense (Incremental TL) | MeritDirect (Term Loan) | Apex (DDTL II) | Nsi Industries (DDTL)</t>
  </si>
  <si>
    <t>MeritDirect (Term Loan) | MeritDirect (Common Equity) | MeritDirect (Preferred Equity) | Kentucky Downs (DDTL A) | MeritDirect (Revolver)</t>
  </si>
  <si>
    <t>OSG (TL)</t>
  </si>
  <si>
    <t>OSG (TL) | OSG (DDTL) | OSG (Common Equity) | Veritext (Equity) | Dominion Voting (Equity)</t>
  </si>
  <si>
    <t>Pragmatic Institute (TL)</t>
  </si>
  <si>
    <t>Pragmatic Institute (TL) | Pragmatic Institute (Revolver) | Pragmatic Institute (Common) | Pragmatic Institute (DDTL) | MeritDirect (Common Equity)</t>
  </si>
  <si>
    <t>C&amp;K Paving Contractors (Term Loan) | C&amp;K Paving Contractors (DDTL) | C&amp;K Paving Contractors (Common Equity) | Recteq (TL) | Vertex (DDTL)</t>
  </si>
  <si>
    <t>Centauri Health (DDTL)</t>
  </si>
  <si>
    <t>Centauri Health (DDTL) | Centauri Health (TL) | Connatix (DDTL) | Centauri Health (Equity) | Centauri Health (Revolver)</t>
  </si>
  <si>
    <t>Commercial Fire Protection (Term Loan) | Commercial Fire Protection (DDTL) | Prelude (Incremental Term Loan) | Commercial Fire Protection (Common Equity) | Commercial Fire Protection (Revolver)</t>
  </si>
  <si>
    <t>Dr. Scholl's (Term Loan) | Prelude (Incremental Term Loan) | Sigma Defense (Incremental TL) | Dr. Scholl's (Revolver) | Wheel Pros (1L)</t>
  </si>
  <si>
    <t>Fairbanks Morse Defense (Term Loan) | IMIA (Term Loan) | CHA Consulting (DDTL) | SpendMend (DDTL) | Watterson (DDTL)</t>
  </si>
  <si>
    <t>MCR (Term Loan) | Paradigm Oral Surgery (DDTL) | Paradigm Oral Surgery (Term Loan) | Solaris Health (DDTL 2024) | MCR (Revolver)</t>
  </si>
  <si>
    <t>PlayPower (Term Loan) | Recteq (TL) | Vertex (DDTL) | Zips (DDTL) | Gen3 Marketing (DDTL)</t>
  </si>
  <si>
    <t>Research Horizons (DDTL) | The Original Cakerie Ltd. (CAD Revolver) | The Original Cakerie Ltd. (CAD TL) | The Original Cakerie, Co. (US TL) | The Creative Group (Term Loan)</t>
  </si>
  <si>
    <t>Sath Industries LLC Delayed Draw Term Loan (360DG)</t>
  </si>
  <si>
    <t>Research Horizons (DDTL) | Kentucky Downs (DDTL A) | Kentucky Downs (DDTL B) | Infinity Home Services (DDTL) | FlexPrint (DDTL)</t>
  </si>
  <si>
    <t>48Forty Intermediate Holdings Inc 48forty Common Equity</t>
  </si>
  <si>
    <t>48Forty (Common Equity) | Recteq (Equity) | Vertex (Common Equity) | 48Forty (Term Loan) | 48Forty (DDTL)</t>
  </si>
  <si>
    <t>LAV Gear Holdings Inc Fourteenth Amendment Priority Term Loan</t>
  </si>
  <si>
    <t>4Wall Entertainment (DDTL)</t>
  </si>
  <si>
    <t>4Wall Entertainment (DDTL) | 4Wall Entertainment (Term Loan) | Marketplace Events (USD Term Loan) | Marketplace Events (DDTL) | 4Wall Entertainment (Revolver)</t>
  </si>
  <si>
    <t>Burgess Point Purchaser Corporation Initial Term Loan</t>
  </si>
  <si>
    <t>Big Top Holdings LLC Term Loan</t>
  </si>
  <si>
    <t>Big Top Manufacturing (Term Loan) | Big Top Manufacturing (Common Equity) | IMIA (Term Loan) | CHA Consulting (DDTL) | Big Top Manufacturing (Revolver)</t>
  </si>
  <si>
    <t>BlueHalo Global Holdings LLC Initial Term Loan</t>
  </si>
  <si>
    <t>BlueHalo (Term Loan) | Schlesinger (DDTL) | IMIA (Term Loan) | CHA Consulting (DDTL) | SpendMend (DDTL)</t>
  </si>
  <si>
    <t>ACP Falcon Buyer Inc Initial Term Loan</t>
  </si>
  <si>
    <t>Integrated Data Services (TL) | Connatix (DDTL) | Painters Supply and Equipment (DDTL) | Sparq (TL) | Integrated Data Services (Rev)</t>
  </si>
  <si>
    <t>Kinetic Purchaser LLC Closing Date Term Loan</t>
  </si>
  <si>
    <t>KNS (Term Loan) | KNS (Equity) | Recteq (TL) | Vertex (DDTL) | KNS (Revolver)</t>
  </si>
  <si>
    <t>Radius Aerospace Inc UK Term Loan</t>
  </si>
  <si>
    <t>Radius Aerospace (Term Loan) | Radius Aerospace (Revolver) | Recteq (TL) | Vertex (DDTL) | Zips (DDTL)</t>
  </si>
  <si>
    <t>RRA Corporate LLC Initial Term Loan</t>
  </si>
  <si>
    <t>Roofed Right America (DDTL 2)</t>
  </si>
  <si>
    <t>Roofed Right America (DDTL 2) | Roofed Right America (DDTL 1) | Roofed Right America (Term Loan) | Recteq (TL) | Roofed Right America (Revolver)</t>
  </si>
  <si>
    <t>TMII Enterprises LLC DDTL</t>
  </si>
  <si>
    <t>Research Horizons (DDTL) | Kentucky Downs (DDTL A) | Kentucky Downs (DDTL B) | Infinity Home Services (DDTL) | TVC (DDTL)</t>
  </si>
  <si>
    <t>TMII Enterprises LLC Term Loan A</t>
  </si>
  <si>
    <t>TVC (DDTL)</t>
  </si>
  <si>
    <t>TVC (DDTL) | Kentucky Downs (DDTL A) | Recteq (TL) | Vertex (DDTL) | Zips (DDTL)</t>
  </si>
  <si>
    <t>SV-Aero Holdings LLC Term Loan</t>
  </si>
  <si>
    <t>Aeronix (DDTL)</t>
  </si>
  <si>
    <t>Aeronix (DDTL) | IMIA (Term Loan) | CHA Consulting (DDTL) | SpendMend (DDTL) | Aeronix (Common Equity)</t>
  </si>
  <si>
    <t>DRS Holdings III Inc 3/25 Term Loan</t>
  </si>
  <si>
    <t>Dr. Scholl's (Term Loan) | Apex (DDTL III) | IMIA (Term Loan) | Wheel Pros (1L) | Dr. Scholl's (Revolver)</t>
  </si>
  <si>
    <t>Systems Planning and Analysis Inc Delayed Draw Term Loan A</t>
  </si>
  <si>
    <t>Bottom Line Systems</t>
  </si>
  <si>
    <t>Bottom Line Systems | Sabel Systems (Revolver) | Signature Systems Group (RC) | Sabel Systems (Term Loan) | Signature Systems Group (TL)</t>
  </si>
  <si>
    <t>North American Rail Solutions USD Term Loan</t>
  </si>
  <si>
    <t>North American Rail Solutions (Term Loan)</t>
  </si>
  <si>
    <t>North American Rail Solutions (Term Loan) | North American Rail Solutions (DDTL) | American Insulated Glass (DDTL) | North American Rail Solutions (Revolver) | SpendMend (Common Equity)</t>
  </si>
  <si>
    <t>SMX Group LLC Term Loan (Smartronix/Trident)</t>
  </si>
  <si>
    <t>OSG (DDTL)</t>
  </si>
  <si>
    <t>OSG (DDTL) | Recteq (TL) | Vertex (DDTL) | Zips (DDTL) | Applied Technical Services (Term Loan)</t>
  </si>
  <si>
    <t>STG Distribution LLC First Out New Money Term Loan</t>
  </si>
  <si>
    <t>STG (TL) | STG (Second Out Term Loans) | STG (First Out New Money Term Loans) | Country Fresh (Interim Bridge DDTL) | Country Fresh (Interim Bridge)</t>
  </si>
  <si>
    <t>Zips Car Wash LLC Roll Up Term Loan</t>
  </si>
  <si>
    <t>Zips (Term Loan)</t>
  </si>
  <si>
    <t>Zips (Term Loan) | Zips (DDTL) | Zips (Common Equity) | Zips (New HoldCo Note) | Zips (Revolver)</t>
  </si>
  <si>
    <t>LAV Gear Holdings, Inc. First Lien - Term Loan - 12th Amend. - Priority FOTL</t>
  </si>
  <si>
    <t>4Wall Entertainment (DDTL) | Marketplace Events (USD Term Loan) | Marketplace Events (DDTL) | 4Wall Entertainment (Term Loan) | 4Wall Entertainment (Revolver)</t>
  </si>
  <si>
    <t>A1 Garage Equity, LLC Common Equity</t>
  </si>
  <si>
    <t>A1 Garage (Common Equity) | Infolinks (Common Equity) | A1 Garage (Revolver) | A1 Garage (Term Loan) | A1 Garage (DDTL)</t>
  </si>
  <si>
    <t>Archer Lewis, LLC First Lien - Revolver - Revolver</t>
  </si>
  <si>
    <t>Archer Lewis (Revolver) | Archer Lewis (Term Loan) | Archer Lewis (Unfunded DDTL B) | Archer Lewis (Unfunded DDTL A) | Archer Lewis (Common Equity)</t>
  </si>
  <si>
    <t>Beta Plus Technologies, Inc. Initial Term Loan</t>
  </si>
  <si>
    <t>Beta+ (TL) | Altamira (TL) | Nuvei (Term Loan) | Recteq (TL) | Vertex (DDTL)</t>
  </si>
  <si>
    <t>Rural Sourcing Holdings, Inc. Amendment No. 1 Incremental Term Loans</t>
  </si>
  <si>
    <t>Sparq (TL) | Prelude (Incremental Term Loan) | Sigma Defense (Incremental TL) | Crane 1 (DDTL) | Crane 1 (Common Equity)</t>
  </si>
  <si>
    <t>TCG 3.0 Jogger Acquisitionco, Inc. First Lien - Revolver - Revolver</t>
  </si>
  <si>
    <t>BiggerPockets (Revolver) | BiggerPockets (TL) | ImagineAcquisitionCo (Revolver) | BiggerPockets (Common Equity) | McAfee (First Lien)</t>
  </si>
  <si>
    <t>Carnegie Dartlet, LLC First Lien - DDTL - DDTL</t>
  </si>
  <si>
    <t>Carnegie Dartlet (DDTL) | Research Horizons (DDTL) | Carnegie Dartlet (Revolver) | Carnegie Dartlet (Common Equity) | Carnegie Dartlet (Term Loan)</t>
  </si>
  <si>
    <t>Medina Health, LLC Revolving Loan</t>
  </si>
  <si>
    <t>Comprehensive Rehab Consultants (Term Loan)</t>
  </si>
  <si>
    <t>Comprehensive Rehab Consultants (Term Loan) | Comprehensive Rehab Consultants (Revolver) | Comprehensive Rehab Consultants (Common Equity) | Confluent Health (DDTL) | Rancho (DDTL)</t>
  </si>
  <si>
    <t>GAUGE ETE BLOCKER LLC Common Equity</t>
  </si>
  <si>
    <t>Engine &amp; Transmission Exchange (Common Equity) | Infolinks (Common Equity) | Sales Benchmark Index (Equity) | OpenRoad Lending (Common Equity) | Engine &amp; Transmission Exchange (Promissory Note)</t>
  </si>
  <si>
    <t>EDS TOPCO, LP Common Equity</t>
  </si>
  <si>
    <t>Seaway (Equity)</t>
  </si>
  <si>
    <t>Seaway (Equity) | Imagine Topco. L.P. (Common Equity - Series B) | Epiq (Common) | Epiq (TL) | Epiq (Revolver)</t>
  </si>
  <si>
    <t>ENC Parent Corporation Initial Term Loan (First Lien)</t>
  </si>
  <si>
    <t>Marketplace Events (USD Term Loan)</t>
  </si>
  <si>
    <t>Marketplace Events (USD Term Loan) | Signature Systems Group (TL II) | Marketplace Events (DDTL) | Evans Network (1L) | Evans Network (2L)</t>
  </si>
  <si>
    <t>Best Practice Associates, LLC First Lien - Term Loan</t>
  </si>
  <si>
    <t>Federal Advisory Partners (First Lien Term Loan) | Federal Advisory Partners (Term Loan) | Marketplace Events (USD Term Loan) | Signature Systems Group (TL II) | Federal Advisory Partners (Revolver)</t>
  </si>
  <si>
    <t>Infinity Home Services Holdco, Inc. Revolving Loan</t>
  </si>
  <si>
    <t>Infinity Home Services (Common Equity)</t>
  </si>
  <si>
    <t>Infinity Home Services (Common Equity) | Infinity Home Services (Term Loan) | Infinity Home Services (Revolver) | Infinity Home Services (DDTL) | Infinity Home Services (DDTL) CAD</t>
  </si>
  <si>
    <t>MidOcean JF Holdings Corp. 5th Amendment Term Loan</t>
  </si>
  <si>
    <t>Jones &amp; Frank (TL) | IMIA (Term Loan) | Jones &amp; Frank (Common) | Jones &amp; Frank (Preferred) | Jones &amp; Frank (Series B)</t>
  </si>
  <si>
    <t>4Wall Entertainment (Revolver)</t>
  </si>
  <si>
    <t>4Wall Entertainment (Revolver) | 4Wall Entertainment (Term Loan) | 4Wall Entertainment (DDTL) | ECL Entertainment (Term Loan) | Colonial Downs (TL)</t>
  </si>
  <si>
    <t>Aeronix (Revolver)</t>
  </si>
  <si>
    <t>Aeronix (Revolver) | Aeronix (TL) | Aeronix (Common Equity) | Aeronix (DDTL)</t>
  </si>
  <si>
    <t>Any Hour Services (Term Loan)</t>
  </si>
  <si>
    <t>Any Hour Services (Term Loan) | Any Hour Services (Revolver) | Any Hour Services (DDTL) | Any Hour Services (Common Equity) | Any Hour Services (DDTL II)</t>
  </si>
  <si>
    <t>Cano Health (Equity) | Cano Health (Term Loan) | Confluent Health (TL) | Confluent Health (Incremental TL) | Ro Health (Revolver)</t>
  </si>
  <si>
    <t>Dr. Scholl's (Revolver) | Dr. Scholl's (Term Loan) | Dr. Squatch (Revolver) | Dr. Squatch (Term Loan) | Dr. Squatch (DDTL)</t>
  </si>
  <si>
    <t>Infinity Home Services (Revolver) | Infinity Home Services (Common Equity) | Infinity Home Services (Term Loan) | Infinity Home Services (DDTL) | Infinity Home Services (DDTL) CAD</t>
  </si>
  <si>
    <t>KNS (Equity)</t>
  </si>
  <si>
    <t>KNS (Equity) | KNS (Revolver) | KNS (Term Loan)</t>
  </si>
  <si>
    <t>Recteq (TL)</t>
  </si>
  <si>
    <t>Recteq (TL) | Recteq (Revolver) | Recteq (Equity)</t>
  </si>
  <si>
    <t>Watterson (Revolver) | IMIA (Revolver) | Watterson (TL) | Watterson (Equity) | Watterson (DDTL)</t>
  </si>
  <si>
    <t>Watchtower Buyer (Revolver) | Watchtower (Revolver) | Watchtower Buyer (TL) | Watchtower (TL) | Watchtower Buyer (DDTL)</t>
  </si>
  <si>
    <t>UniVista (Equity) | Infolinks (Common Equity) | Sales Benchmark Index (Equity) | OpenRoad Lending (Common Equity) | Seaway (Equity)</t>
  </si>
  <si>
    <t>Tranzact (DDTL)</t>
  </si>
  <si>
    <t>Tranzact (DDTL) | Tranzact (Term Loan) | Connatix (DDTL) | Tranzact (Revolver) | Tranzact (Common Equity)</t>
  </si>
  <si>
    <t>TransGo (Equity) | Recteq (Equity) | Vertex (Common Equity) | nThrive (Senior Common Equity) | nThrive (Senior Common Equity - Unfunded)</t>
  </si>
  <si>
    <t>STG (TL) | STG (Second Out Term Loans) | STG (First Out New Money Term Loans) | Ascensus (2L Term Loan) | BlackHawk Industrial (DDTL)</t>
  </si>
  <si>
    <t>IMIA (Revolver)</t>
  </si>
  <si>
    <t>IMIA (Revolver) | Intellectual Technology, Inc. (Rev) | Kele (Revolver) | Momentum (Revolver) | Sparq (TL)</t>
  </si>
  <si>
    <t>Schlesinger (Equity) | Infosoft (Common Equity) | Lilly Lashes (Equity) | TVC (Equity) | Schlesinger (Term Loan)</t>
  </si>
  <si>
    <t>ProSearch (Revolver)</t>
  </si>
  <si>
    <t>ProSearch (Revolver) | Peninsula Pacific Entertainment (Term Loan B) | Peninsula Pacific Entertainment (DDTL B) | ProSearch (TL) | ProSearch (DDTL)</t>
  </si>
  <si>
    <t>Aechelon (Common Equity) | Infolinks (Common Equity) | Sales Benchmark Index (Equity) | Aechelon (Revolver) | Aechelon (Term Loan)</t>
  </si>
  <si>
    <t>BiggerPockets (Common Equity) | Infolinks (Common Equity) | Any Hour Services (Common Equity) | BiggerPockets (TL) | BiggerPockets (Revolver)</t>
  </si>
  <si>
    <t>OpenRoad Lending (Preferred Equity)</t>
  </si>
  <si>
    <t>OpenRoad Lending (Preferred Equity) | OpenRoad Lending (Common Equity) | Integrity Marketing (Preferred Equity) | Vertex (Preferred Equity) | Imagine Topco. L.P. (Preferred Equity - Series A)</t>
  </si>
  <si>
    <t>Connatix (Common Equity) | Recteq (Equity) | Connatix (Revolver) | Connatix (Term Loan) | Connatix (DDTL)</t>
  </si>
  <si>
    <t>Connatix (Common Equity) | Vertex (Preferred Equity) | Connatix (Revolver) | Connatix (Term Loan) | Connatix (DDTL)</t>
  </si>
  <si>
    <t>Rancho (Equity) | Recteq (Equity) | Vertex (Common Equity) | Infolinks (Common Equity) | Sales Benchmark Index (Equity)</t>
  </si>
  <si>
    <t>Tranzact (Common Equity) | Infolinks (Common Equity) | Tranzact (DDTL) | Tranzact (Revolver) | Tranzact (Term Loan)</t>
  </si>
  <si>
    <t>Tyto Athene (Equity) | Infolinks (Common Equity) | Recteq (Equity) | Vertex (Common Equity) | Tyto Athene (Pref)</t>
  </si>
  <si>
    <t>Tyto Athene (Equity) | Vertex (Preferred Equity) | OpenRoad Lending (Preferred Equity) | Integrity Marketing (Preferred Equity) | Tyto Athene (Pref)</t>
  </si>
  <si>
    <t>Vertex (Common Equity) | Vertex (Preferred Equity) | Recteq (Equity) | RTIC (Common Equity) | Infolinks (Common Equity)</t>
  </si>
  <si>
    <t>Vertex (Preferred Equity) | Vertex (Common Equity) | RTIC (Preferred Equity A) | RTIC (Preferred Equity B) | RTIC (Preferred Equity C)</t>
  </si>
  <si>
    <t>Watchtower</t>
  </si>
  <si>
    <t>Watchtower Holding (Common Equity) | Watchtower (Revolver) | Watchtower (TL) | Watchtower (DDTL) | Watchtower Buyer (Revolver)</t>
  </si>
  <si>
    <t>Watterson (Equity) | Infolinks (Common Equity) | Watterson (TL) | Watterson (Revolver) | Watterson (DDTL)</t>
  </si>
  <si>
    <t>Considering score from elastic search, with abc distance algorithm for reranking</t>
  </si>
  <si>
    <t>ES Score</t>
  </si>
  <si>
    <t>DA score</t>
  </si>
  <si>
    <t>Final score</t>
  </si>
  <si>
    <t>Total Cases: 99
Top-1 Accuracy: 66.67%
Top-5 Accuracy: 89.90%</t>
  </si>
  <si>
    <t>Considering score from elastic search, by security name extraction and security type</t>
  </si>
  <si>
    <t>Nest step</t>
  </si>
  <si>
    <t>Rank</t>
  </si>
  <si>
    <t>ES Score Scaled</t>
  </si>
  <si>
    <t>Raw ES Score</t>
  </si>
  <si>
    <t>Top Candidates</t>
  </si>
  <si>
    <t>360DG (DDTL A) | 360DG (DDTL B) | 360DG (Term Loan) | 360DG (Common Equity) | 360DG (Revolver)</t>
  </si>
  <si>
    <t>48Forty (Term Loan) | 48Forty (Common Equity) | 48Forty (DDTL) | MeritDirect (Common Equity) | RTIC (Preferred Equity C)</t>
  </si>
  <si>
    <t>Ad.net (Term Loan) | Ad.net (Revolver) | Arcfield (Term Loan) | Ad.net (Common Equity) | Ad.net (Preferred Equity)</t>
  </si>
  <si>
    <t>Aechelon (Term Loan) | Aechelon (Common Equity) | Aechelon (Revolver) | Sabel Systems (Term Loan) | Sabel Systems (Revolver)</t>
  </si>
  <si>
    <t>AFC Industries (DDTL) | AFC Industries (Common Equity) | AFC Industries (TL) | Digital Room | Vision Integrated (TL)</t>
  </si>
  <si>
    <t>AFC Industries (TL) | AFC Industries (DDTL) | AFC Industries (Common Equity) | Digital Room (Term Loan) | Digital Room</t>
  </si>
  <si>
    <t>Bland Landscaping (DDTL) | Bland Landscaping (Revolver) | Bland Landscaping (Term Loan) | Digital Room | Digital Room (Term Loan)</t>
  </si>
  <si>
    <t>Bluebird (Term Loan) | Bluebird (Revolver) | Sabai Group (Term Loan) | Wrench Group (Term Loan) | STV Group (TL)</t>
  </si>
  <si>
    <t>BlueHalo (Term Loan) | Altamira (TL) | Nuvei (Term Loan) | Beta+ (TL) | Aspect Software (First Lien Fourth Out)</t>
  </si>
  <si>
    <t>BlueHalo Global (Aegis) T/L 4th Amend</t>
  </si>
  <si>
    <t>nan</t>
  </si>
  <si>
    <t>NA</t>
  </si>
  <si>
    <t>BlueHalo (Term Loan) | Schlesinger (Term Loan) | Global (Term Loan) | Aspect Software (First Lien Fourth Out) | Schlesinger (Revolver)</t>
  </si>
  <si>
    <t>Centauri Health (Revolver) | Centauri Health (TL) | Centauri Health (DDTL) | Centauri Health (Equity) | Watchtower Buyer (DDTL)</t>
  </si>
  <si>
    <t>Dr. Squatch (DDTL)</t>
  </si>
  <si>
    <t>Dr. Squatch (DDTL) | Dr. Squatch (Term Loan) | Dr. Scholl's (Term Loan) | Dr. Squatch (Revolver) | Dr. Scholl's (Revolver)</t>
  </si>
  <si>
    <t>Guild Garage Group (DDTL) | Guild Garage Group (Revolver) | Guild Garage Group (Term Loan) | Guild Garage Group (Common Equity) | PCS Retirement (Term Loan)</t>
  </si>
  <si>
    <t>Infinity Home Services (DDTL) | Infinity Home Services (DDTL) CAD | Infinity Home Services (Common Equity) | Infinity Home Services (Revolver) | Infinity Home Services (Term Loan)</t>
  </si>
  <si>
    <t>Lilly Lashes (TL) | APT Healthcare (Term Loan) | Lilly Lashes (Revolver) | Lilly Lashes (Equity) | APT Healthcare (Common Equity)</t>
  </si>
  <si>
    <t>Lynx Technologies (TL) | Lynx Technologies (Revolver) | Lynx Technologies (Common Equity) | Prelude (Incremental Term Loan) | PAR Excellence (Common Equity)</t>
  </si>
  <si>
    <t>MeritDirect (Term Loan) | Prelude (Incremental Term Loan) | MeritDirect (Common Equity) | MeritDirect (Preferred Equity) | MeritDirect (Revolver)</t>
  </si>
  <si>
    <t>MeritDirect (Term Loan) | MeritDirect (Common Equity) | MeritDirect (Preferred Equity) | MeritDirect (Revolver) | Smartronix / Trident (TL)</t>
  </si>
  <si>
    <t>C&amp;K Paving Contractors (Term Loan) | C&amp;K Paving Contractors (DDTL) | C&amp;K Paving Contractors (Common Equity)</t>
  </si>
  <si>
    <t>Centauri Health (TL) | Centauri Health (DDTL) | Centauri Health (Revolver) | Watchtower Buyer (DDTL) | Centauri Health (Equity)</t>
  </si>
  <si>
    <t>Commercial Fire Protection (DDTL)</t>
  </si>
  <si>
    <t>Commercial Fire Protection (DDTL) | Commercial Fire Protection (Term Loan) | Commercial Fire Protection (Common Equity) | Commercial Fire Protection (Revolver) | Prelude (Incremental Term Loan)</t>
  </si>
  <si>
    <t>Dr. Scholl's (Term Loan) | API Technologies (TL) | Prelude (Incremental Term Loan) | Dr. Scholl's (Revolver) | Paris Presents</t>
  </si>
  <si>
    <t>Fairbanks Morse Defense (Term Loan) | AKW Holdings (Term Loan) | Ascensus (Term Loan) | Watchtower Holding (Common Equity) | American Surgical (Preferred Equity)</t>
  </si>
  <si>
    <t>MCR (Term Loan) | Paradigm Oral Surgery (Term Loan) | Solaris Health (DDTL 2024) | Solaris Health (DDTL) | MCR (Revolver)</t>
  </si>
  <si>
    <t>The Original Cakerie Ltd. (CAD Revolver)</t>
  </si>
  <si>
    <t>The Original Cakerie Ltd. (CAD Revolver) | The Original Cakerie Ltd. (CAD TL) | The Original Cakerie, Co. (US TL) | The Creative Group (Term Loan) | Bluebird (Term Loan)</t>
  </si>
  <si>
    <t>Boss Industries (Revolver) | AFC Industries (Common Equity) | Boss Industries (Term Loan) | ECM Industries (TL) | AFC Industries (TL)</t>
  </si>
  <si>
    <t>48Forty (Common Equity) | 48Forty (Term Loan) | 48Forty (DDTL) | nThrive (Term Loan) | Real Life Residential (DDTL)</t>
  </si>
  <si>
    <t>4Wall Entertainment (Term Loan) | 4Wall Entertainment (DDTL) | 4Wall Entertainment (Revolver) | Marketplace Events (USD Term Loan) | Marketplace Events (DDTL)</t>
  </si>
  <si>
    <t>Big Top Manufacturing (Term Loan) | Big Top Manufacturing (Common Equity) | Big Top Manufacturing (Revolver) | Comodo (P Equity 2) | Watchtower Holding (Common Equity)</t>
  </si>
  <si>
    <t>BlueHalo (Term Loan) | Global (Term Loan) | Schlesinger (Term Loan) | UniTek (Common Eq) | Schlesinger (Revolver)</t>
  </si>
  <si>
    <t>Integrated Data Services (TL) | Integrated Data Services (Rev) | Big Top Manufacturing (Common Equity) | nThrive (Senior Common Equity) | nThrive (Senior Common Equity - Unfunded)</t>
  </si>
  <si>
    <t>KNS (Term Loan) | KNS (Equity) | Adweek (Term Loan) | STG (TL) | KNS (Revolver)</t>
  </si>
  <si>
    <t>Radius Aerospace (Term Loan) | Radius Aerospace (Revolver) | Cadence Aerospace | MAG Aerospace (TL)</t>
  </si>
  <si>
    <t>Roofed Right America (DDTL 1)</t>
  </si>
  <si>
    <t>Roofed Right America (DDTL 1) | Roofed Right America (DDTL 2) | Roofed Right America (Term Loan) | Roofed Right America (Revolver)</t>
  </si>
  <si>
    <t>US Fertility (DDTL)</t>
  </si>
  <si>
    <t>US Fertility (DDTL) | TVC (DDTL) | TVC (Revolver) | TVC (TL) | US Fertility (Term Loan)</t>
  </si>
  <si>
    <t>TVC (TL)</t>
  </si>
  <si>
    <t>TVC (TL) | US Fertility (DDTL) | US Fertility (Term Loan) | TVC (DDTL) | TVC (Revolver)</t>
  </si>
  <si>
    <t>Aeronix (DDTL) | Aeronix (Common Equity) | AKW Holdings (Term Loan) | Watchtower Holding (Common Equity) | AKW Holdings (Common)</t>
  </si>
  <si>
    <t>Dr. Scholl's (Term Loan) | API Technologies (TL) | Dr. Scholl's (Revolver) | Paris Presents | Wheel Pros (Equity)</t>
  </si>
  <si>
    <t>North American Rail Solutions (Term Loan) | North American Rail Solutions (DDTL) | North American Rail Solutions (Revolver) | Marketplace Events (USD Term Loan) | SpendMend (Common Equity)</t>
  </si>
  <si>
    <t>Smartronix / Trident (TL) | Ankura (TL) | Findex (TL) | Nevada Behavioral Health Systems (Term Loan) | STV Group (TL)</t>
  </si>
  <si>
    <t>Zips (Term Loan) | Zips (New OpCo Term Loan) | Zips (Common Equity) | Zips (New HoldCo Note) | Zips (Revolver)</t>
  </si>
  <si>
    <t>4Wall Entertainment (Term Loan) | 4Wall Entertainment (DDTL) | Marketplace Events (USD Term Loan) | Marketplace Events (DDTL) | 4Wall Entertainment (Revolver)</t>
  </si>
  <si>
    <t>A1 Garage (Common Equity) | A1 Garage (DDTL) | A1 Garage (Revolver) | A1 Garage (Term Loan) | Guild Garage Group (DDTL)</t>
  </si>
  <si>
    <t>Archer Lewis (Revolver) | Archer Lewis (Term Loan) | Archer Lewis (Unfunded DDTL A) | Archer Lewis (Unfunded DDTL B) | Archer Lewis (Common Equity)</t>
  </si>
  <si>
    <t>Beta+ (TL) | Altamira (TL) | Nuvei (Term Loan) | Altamira (RC) | API Technologies (Revolver)</t>
  </si>
  <si>
    <t>Sparq (TL) | Crane 1 (Term Loan) | Prelude (Incremental Term Loan) | Sigma Defense (Incremental TL) | Crane 1 (Common Equity)</t>
  </si>
  <si>
    <t>BiggerPockets (Revolver) | BiggerPockets (TL) | BiggerPockets (Common Equity) | McAfee (First Lien) | Marketplace Events (USD Term Loan)</t>
  </si>
  <si>
    <t>Carnegie Dartlet (DDTL) | Carnegie Dartlet (Revolver) | Carnegie Dartlet (Common Equity) | Carnegie Dartlet (Term Loan) | McAfee (First Lien)</t>
  </si>
  <si>
    <t>Engine &amp; Transmission Exchange (Common Equity) | Infosoft (Common Equity) | Lilly Lashes (Equity) | Loving Tan (Equity) | Engine &amp; Transmission Exchange (Promissory Note)</t>
  </si>
  <si>
    <t>Epiq (Common) | 360DG (Common Equity) | Epiq (DDTL) | Epiq (Revolver) | Epiq (TL)</t>
  </si>
  <si>
    <t>Evans Network (1L) | Evans Network (2L) | Marketplace Events (USD Term Loan) | Marketplace Events (DDTL) | McAfee (First Lien)</t>
  </si>
  <si>
    <t>Federal Advisory Partners (First Lien Term Loan) | Federal Advisory Partners (Term Loan) | Marketplace Events (USD Term Loan) | Federal Advisory Partners (Revolver) | McAfee (First Lien)</t>
  </si>
  <si>
    <t>Infinity Home Services (Term Loan)</t>
  </si>
  <si>
    <t>Infinity Home Services (Term Loan) | Infinity Home Services (Common Equity) | Infinity Home Services (Revolver) | Infinity Home Services (DDTL) | Infinity Home Services (DDTL) CAD</t>
  </si>
  <si>
    <t>Jones &amp; Frank (TL) | Jones &amp; Frank (Common) | Jones &amp; Frank (Preferred) | Jones &amp; Frank (Series B) | Watchtower Holding (Common Equity)</t>
  </si>
  <si>
    <t>Aeronix (TL) | Aeronix (Revolver) | Aeronix (Common Equity) | Aeronix (DDTL)</t>
  </si>
  <si>
    <t>Any Hour Services (DDTL II) | Any Hour Services (DDTL) | Any Hour Services (Term Loan) | Any Hour Services (Revolver) | Any Hour Services (Common Equity)</t>
  </si>
  <si>
    <t>Cano Health (Term Loan)</t>
  </si>
  <si>
    <t>Cano Health (Term Loan) | Cano Health (Equity) | Confluent Health (Incremental TL) | Confluent Health (TL) | Ro Health (Revolver)</t>
  </si>
  <si>
    <t>Infinity Home Services (DDTL) | Infinity Home Services (DDTL) CAD | Infinity Home Services (Term Loan) | Infinity Home Services (Revolver) | Infinity Home Services (Common Equity)</t>
  </si>
  <si>
    <t>KNS (Revolver)</t>
  </si>
  <si>
    <t>KNS (Revolver) | KNS (Equity) | KNS (Term Loan)</t>
  </si>
  <si>
    <t>Watterson (Revolver) | Watterson (DDTL) | IMIA (Revolver) | Watterson (TL) | Watterson (Equity)</t>
  </si>
  <si>
    <t>Watchtower (Revolver)</t>
  </si>
  <si>
    <t>Watchtower (Revolver) | Watchtower Buyer (Revolver) | Watchtower Buyer (TL) | Watchtower (TL) | Watchtower Buyer (DDTL)</t>
  </si>
  <si>
    <t>Tranzact (DDTL) | Tranzact (Term Loan) | Tranzact (Common Equity) | Tranzact (Revolver) | Connatix (Revolver)</t>
  </si>
  <si>
    <t>TransGo (Equity) | Hollander | Manna Pro (TL) | Manna Pro (DDTL) | Douglas (Term Loan)</t>
  </si>
  <si>
    <t>STG (TL) | STG (Second Out Term Loans) | STG (First Out New Money Term Loans) | Ascensus (2L Term Loan) | Plimpton &amp; Hills (TL)</t>
  </si>
  <si>
    <t>ProSearch (Revolver) | Peninsula Pacific Entertainment (Term Loan B) | Peninsula Pacific Entertainment (DDTL B) | ProSearch (DDTL) | ProSearch (TL)</t>
  </si>
  <si>
    <t>Aechelon (Common Equity) | Aechelon (Revolver) | Aechelon (Term Loan) | Athene (Equity) | Sigma Defense (Equity)</t>
  </si>
  <si>
    <t>BiggerPockets (Common Equity) | BiggerPockets (Revolver) | BiggerPockets (TL) | Crash Champions (Equity) | IDC Infusion Services (Common Equity)</t>
  </si>
  <si>
    <t>Applied Technical Services (Common Equity)</t>
  </si>
  <si>
    <t>Applied Technical Services (Common Equity) | C5MI (Common Equity) | C5MI (Preferred Equity) | Carnegie Dartlet (Common Equity) | Hanley Wood (TL)</t>
  </si>
  <si>
    <t>Connatix (Common Equity) | Connatix (Revolver) | Connatix (Term Loan) | Connatix (DDTL) | Planview (TL)</t>
  </si>
  <si>
    <t>Rancho (Equity) | Connatix (Common Equity) | Rosco (Common Equity) | Planview (TL) | Rosco (Revolver)</t>
  </si>
  <si>
    <t>Tranzact (Common Equity) | Watchtower Holding (Common Equity) | Tranzact (DDTL) | Tranzact (Revolver) | Tranzact (Term Loan)</t>
  </si>
  <si>
    <t>Tyto Athene (Equity) | Tyto Athene (Pref) | Watchtower Holding (Common Equity) | AKW Holdings (Term Loan) | AKW Holdings (Common)</t>
  </si>
  <si>
    <t>Vertex (Common Equity) | Vertex (Preferred Equity) | Infogroup (C Equity) | NORA (Common Equity) | Recteq (Equity)</t>
  </si>
  <si>
    <t>Watterson (Equity) | Watterson (TL) | Watterson (Revolver) | Watterson (DDTL) | Watchtower Holding (Common Equity)</t>
  </si>
  <si>
    <t>Security name entity extraction and search ,security type reranking boost</t>
  </si>
  <si>
    <t>input</t>
  </si>
  <si>
    <t>expected</t>
  </si>
  <si>
    <t>predicted</t>
  </si>
  <si>
    <t>score</t>
  </si>
  <si>
    <t>raw_es_score</t>
  </si>
  <si>
    <t>top_matches</t>
  </si>
  <si>
    <t>rank</t>
  </si>
  <si>
    <t>matched_flag</t>
  </si>
  <si>
    <t>top1_correct</t>
  </si>
  <si>
    <t>topk_correct</t>
  </si>
  <si>
    <t>360DG (Term Loan) | 360DG (DDTL A) | 360DG (DDTL B) | 360DG (Common Equity) | 360DG (Revolver)</t>
  </si>
  <si>
    <t>Ad.net (Term Loan) | Arcfield (Term Loan) | Ad.net (Revolver) | Ad.net (Common Equity) | Ad.net (Preferred Equity)</t>
  </si>
  <si>
    <t>AFC Industries (DDTL) | AFC Industries (Common Equity) | Bland Landscaping (DDTL) | Summit Companies (DDTL) | AFC Industries (TL)</t>
  </si>
  <si>
    <t>AFC Industries (TL) | AFC Industries (DDTL) | AFC Industries (Common Equity) | Hightower (Term Loan) | Digital Room (Term Loan)</t>
  </si>
  <si>
    <t>BBB Industries (First Lien Term Loan) | BBB Industries (Second Lien Term Loan) | Vision Integrated (TL) | StrataTech (Term Loan) | BBB Industries (Common Equity)</t>
  </si>
  <si>
    <t>Bland Landscaping (DDTL) | Bland Landscaping (Revolver) | Summit Companies (DDTL) | Bland Landscaping (Term Loan) | Digital Room</t>
  </si>
  <si>
    <t>BlueHalo (Term Loan) | Nuvei (Term Loan) | Altamira (TL) | Beta+ (TL) | Paradigm (Term Loan)</t>
  </si>
  <si>
    <t>BlueHalo (Term Loan) | Schlesinger (Term Loan) | Global (Term Loan) | Schlesinger (DDTL) | Aspect Software (First Lien Fourth Out)</t>
  </si>
  <si>
    <t>Centauri Health (Revolver) | Watchtower Buyer (Revolver) | Centauri Health (TL) | Centauri Health (DDTL) | Centauri Health (Equity)</t>
  </si>
  <si>
    <t>Guild Garage Group (DDTL) | TPCN (DDTL) | Guild Garage Group (Revolver) | Guild Garage Group (Term Loan) | Guild Garage Group (Common Equity)</t>
  </si>
  <si>
    <t>Lilly Lashes (TL) | APT Healthcare (Term Loan) | APT Healthcare (Incr. DDTL) | Lilly Lashes (Revolver) | Lilly Lashes (Equity)</t>
  </si>
  <si>
    <t>Lynx Technologies (TL) | Prelude (Incremental Term Loan) | Lynx Technologies (Revolver) | Lynx Technologies (Common Equity) | PAR Excellence (Common Equity)</t>
  </si>
  <si>
    <t>MeritDirect (Term Loan) | Prelude (Incremental Term Loan) | Sigma Defense (Incremental TL) | DBI (Term Loan B) | MeritDirect (Common Equity)</t>
  </si>
  <si>
    <t>C&amp;K Paving Contractors (Term Loan) | C&amp;K Paving Contractors (DDTL) | C&amp;K Paving Contractors (Common Equity) | 48Forty (Term Loan) | MCR (Term Loan)</t>
  </si>
  <si>
    <t>Centauri Health (TL) | Centauri Health (DDTL) | Watchtower Buyer (TL) | Centauri Health (Revolver) | Centauri Health (Equity)</t>
  </si>
  <si>
    <t>Commercial Fire Protection (Term Loan) | Commercial Fire Protection (DDTL) | Commercial Fire Protection (Common Equity) | Prelude (Incremental Term Loan) | Commercial Fire Protection (Revolver)</t>
  </si>
  <si>
    <t>Dr. Scholl's (Term Loan) | API Technologies (TL) | Prelude (Incremental Term Loan) | Sigma Defense (Incremental TL) | Dr. Scholl's (Revolver)</t>
  </si>
  <si>
    <t>Fairbanks Morse Defense (Term Loan) | Ascensus (Term Loan) | IMIA (Term Loan) | Kele (Term Loan) | Momentum (Term Loan)</t>
  </si>
  <si>
    <t>MCR (Term Loan) | Solaris Health (Term Loan) | Paradigm Oral Surgery (Term Loan) | New Jersey Urology (TL) | MCR (Revolver)</t>
  </si>
  <si>
    <t>PlayPower (Term Loan) | 48Forty (Term Loan) | Accelevation (Term Loan) | Adweek (Term Loan) | MCR (Term Loan)</t>
  </si>
  <si>
    <t>Vertex (DDTL)</t>
  </si>
  <si>
    <t>Vertex (DDTL) | The Original Cakerie Ltd. (CAD Revolver) | The Original Cakerie Ltd. (CAD TL) | The Original Cakerie, Co. (US TL) | The Creative Group (Term Loan)</t>
  </si>
  <si>
    <t>AFC Industries (DDTL) | Boss Industries (Revolver) | Boss Industries (Term Loan) | ECM Industries (TL) | AFC Industries (TL)</t>
  </si>
  <si>
    <t>48Forty (Common Equity) | Mars Agency (Common Equity) | 48Forty (Term Loan) | PT Network (Common) | 48Forty (DDTL)</t>
  </si>
  <si>
    <t>4Wall Entertainment (Term Loan) | 4Wall Entertainment (DDTL) | Marketplace Events (USD Term Loan) | Ascensus (Term Loan) | 4Wall Entertainment (Revolver)</t>
  </si>
  <si>
    <t>BBB Industries (First Lien Term Loan) | BBB Industries (Second Lien Term Loan) | Vision Integrated (TL) | BBB Industries (Common Equity) | StrataTech (Term Loan)</t>
  </si>
  <si>
    <t>Big Top Manufacturing (Term Loan) | Big Top Manufacturing (Common Equity) | Big Top Manufacturing (Revolver) | AKW Holdings (Term Loan) | Comodo (P Equity 2)</t>
  </si>
  <si>
    <t>BlueHalo (Term Loan) | Global (Term Loan) | Schlesinger (Term Loan) | Ascensus (Term Loan) | IMIA (Term Loan)</t>
  </si>
  <si>
    <t>Integrated Data Services (TL) | Aphix (Term Loan) | Connatix (Term Loan) | Integrated Data Services (Rev) | Big Top Manufacturing (Common Equity)</t>
  </si>
  <si>
    <t>KNS (Term Loan) | KNS (Equity) | Adweek (Term Loan) | LifePort (Term Loan) | KNS (Revolver)</t>
  </si>
  <si>
    <t>Radius Aerospace (Term Loan) | Radius Aerospace (Revolver) | Cadence Aerospace | MAG Aerospace (TL) | MCR (Term Loan)</t>
  </si>
  <si>
    <t>Roofed Right America (Term Loan) | Roofed Right America (DDTL 1) | Roofed Right America (DDTL 2) | Roofed Right America (Revolver) | MCR (Term Loan)</t>
  </si>
  <si>
    <t>TVC (TL) | US Fertility (Term Loan) | US Fertility (DDTL) | Smartronix / Trident (TL) | MeritDirect (Term Loan)</t>
  </si>
  <si>
    <t>Aeronix (DDTL) | Aeronix (Common Equity) | AKW Holdings (Term Loan) | Ascensus (Term Loan) | IMIA (Term Loan)</t>
  </si>
  <si>
    <t>Smartronix / Trident (TL) | Bluebird (Term Loan) | Paradigm (Term Loan) | Sabai Group (Term Loan) | Wrench Group (Term Loan)</t>
  </si>
  <si>
    <t>STG (TL) | STG (Second Out Term Loans) | STG (First Out New Money Term Loans) | Plimpton &amp; Hills (TL) | Country Fresh (Interim Bridge)</t>
  </si>
  <si>
    <t>A1 Garage (Common Equity) | A1 Garage (DDTL) | A1 Garage (Revolver) | A1 Garage (Term Loan) | Guild Garage Group (Common Equity)</t>
  </si>
  <si>
    <t>Beta+ (TL) | Nuvei (Term Loan) | Altamira (TL) | BlueHalo (Term Loan) | API Technologies (Revolver)</t>
  </si>
  <si>
    <t>Engine &amp; Transmission Exchange (Common Equity) | Infosoft (Common Equity) | Engine &amp; Transmission Exchange (Promissory Note) | Lilly Lashes (Equity) | Loving Tan (Equity)</t>
  </si>
  <si>
    <t>Evans Network (1L) | Evans Network (2L) | Marketplace Events (USD Term Loan) | Signature Systems Group (TL II) | McAfee (First Lien)</t>
  </si>
  <si>
    <t>Federal Advisory Partners (Term Loan)</t>
  </si>
  <si>
    <t>Federal Advisory Partners (Term Loan) | Federal Advisory Partners (First Lien Term Loan) | Marketplace Events (USD Term Loan) | Federal Advisory Partners (Revolver) | McAfee (First Lien)</t>
  </si>
  <si>
    <t>Jones &amp; Frank (TL) | Jones &amp; Frank (Common) | Jones &amp; Frank (Preferred) | Jones &amp; Frank (Series B) | Ascensus (Term Loan)</t>
  </si>
  <si>
    <t>Watchtower (Revolver) | Watchtower Buyer (Revolver) | Watchtower (TL) | Watchtower (DDTL) | Watchtower Buyer (TL)</t>
  </si>
  <si>
    <t>UniVista (Equity) | 48Forty (Common Equity) | Aechelon (Common Equity) | Altamira (Common Equity) | Harris (Common Equity)</t>
  </si>
  <si>
    <t>Tranzact (Term Loan) | Tranzact (DDTL) | Tranzact (Common Equity) | Connatix (DDTL) | Tranzact (Revolver)</t>
  </si>
  <si>
    <t>TransGo (Equity) | Athletico (Common Equity) | BioDerm (Common Equity) | TPCN (Common Equity) | 48Forty (Common Equity)</t>
  </si>
  <si>
    <t>IMIA (Revolver) | Kele (Revolver) | Momentum (Revolver) | SpendMend (Revolver) | Sparq (TL)</t>
  </si>
  <si>
    <t>Infosoft (Common Equity)</t>
  </si>
  <si>
    <t>Infosoft (Common Equity) | Engine &amp; Transmission Exchange (Common Equity) | Schlesinger (Equity) | Schlesinger (Term Loan) | Lilly Lashes (Equity)</t>
  </si>
  <si>
    <t>Aechelon (Common Equity) | GCOM (Common Equity) | QuantiTech (Common Equity I) | Aechelon (Revolver) | Aechelon (Term Loan)</t>
  </si>
  <si>
    <t>BiggerPockets (Common Equity) | IDC Infusion Services (Common Equity) | Any Hour Services (Common Equity) | BiggerPockets (Revolver) | BiggerPockets (TL)</t>
  </si>
  <si>
    <t>C5MI (Preferred Equity) | OpenRoad Lending (Preferred Equity) | Signature Systems Group (Preferred Equity) | BioDerm (Preferred Equity) | Harris (Preferred Equity)</t>
  </si>
  <si>
    <t>Connatix (Common Equity) | Rosco (Common Equity) | Connatix (Revolver) | Connatix (Term Loan) | Connatix (DDTL)</t>
  </si>
  <si>
    <t>Connatix (Common Equity) | RTIC (Preferred Equity B) | Connatix (Revolver) | Connatix (Term Loan) | Connatix (DDTL)</t>
  </si>
  <si>
    <t>Connatix (Common Equity) | Rosco (Common Equity) | NORA (Common Equity) | RTIC (Common Equity) | Rancho (Equity)</t>
  </si>
  <si>
    <t>Watchtower Holding (Common Equity) | Athletico (Common Equity) | BioDerm (Common Equity) | Tyto Athene (Equity) | Tyto Athene (Pref)</t>
  </si>
  <si>
    <t>BioDerm (Preferred Equity)</t>
  </si>
  <si>
    <t>BioDerm (Preferred Equity) | Harris (Preferred Equity) | MeritDirect (Preferred Equity) | Tyto Athene (Equity) | Tyto Athene (Pref)</t>
  </si>
  <si>
    <t>Vertex (Common Equity) | NORA (Common Equity) | RTIC (Common Equity) | Five Star (Common Equity) | Vertex (Preferred Equity)</t>
  </si>
  <si>
    <t>Vertex (Preferred Equity) | RTIC (Preferred Equity A) | RTIC (Preferred Equity B) | RTIC (Preferred Equity C) | Vertex (Common Equity)</t>
  </si>
  <si>
    <t>Watterson (TL)</t>
  </si>
  <si>
    <t>Watterson (TL) | Watterson (Equity) | Watterson (Revolver) | Watchtower Holding (Common Equity) | Watterson (DDTL)</t>
  </si>
  <si>
    <t>Total Cases: 99
Top-1 Accuracy: 59.60%
Top-5 Accuracy: 91.92%</t>
  </si>
  <si>
    <t>Summary</t>
  </si>
  <si>
    <t>Security Name Matching</t>
  </si>
  <si>
    <t>Family/Company Matching</t>
  </si>
  <si>
    <t>Improvement</t>
  </si>
  <si>
    <t>Top-1 Accuracy</t>
  </si>
  <si>
    <t>Top-K Accuracy</t>
  </si>
  <si>
    <t>es_candidate_rank</t>
  </si>
  <si>
    <t>Marketplace Events (DDTL) | Marketplace Events (USD Term Loan) | Marketplace Events (CAD Term Loan) | 360DG (Term Loan) | 360DG (DDTL B) | 360DG (DDTL A) | Connatix (DDTL) | Painters Supply and Equipment (DDTL) | Sparq (TL) | Centauri Health (DDTL) | Five Star (DDTLB) | APRA (Term Loan) | Recteq (TL) | Vertex (DDTL) | Zips (DDTL) | Marketplace Events (Equity) | 360DG (Common Equity) | Marketplace Events (Revolver) | 360DG (Revolver) | APRA (Revolver)</t>
  </si>
  <si>
    <t>48Forty (Common Equity) | 48Forty (Term Loan) | 48Forty (DDTL) | MeritDirect (Common Equity) | RTIC (Preferred Equity C) | nThrive (Term Loan) | Real Life Residential (DDTL) | Real Life Residential (Term Loan) | Real Life Residential (Revolver) | Convergint (TL) | Mars Agency (Common Equity) | Mars Agency (Preferred Equity) | nThrive (Preferred Equity) | PT Network (Common) | PT Network (Pref) | PhaseWell Research (Revolver) | PhaseWell Research (DDTL) | PhaseWell Research (Term Loan) | EvAl (Term Loan) | EvAl (Revolver)</t>
  </si>
  <si>
    <t>Ad.net (Term Loan) | 48Forty (DDTL) | Integrity Marketing (DDTL) | Recteq (TL) | Vertex (DDTL) | Zips (DDTL) | Gen3 Marketing (DDTL) | CoolSys (DDTL) | Dr. Squatch (Term Loan) | FlexPrint (DDTL) | IMIA (Term Loan) | Lilly Lashes (TL) | UBEO (DDTL) | Applied Technical Services (Term Loan) | Quantic Electronics (DDTL) | CHA Consulting (DDTL) | Confluent Health (DDTL) | Ad.net (Common Equity) | Ad.net (Preferred Equity) | Ad.net (Revolver)</t>
  </si>
  <si>
    <t>Aechelon (Term Loan) | Aechelon (Common Equity) | Aechelon (Revolver) | Recteq (TL) | Vertex (DDTL) | Zips (DDTL) | Gen3 Marketing (DDTL) | CoolSys (DDTL) | Dr. Squatch (Term Loan) | FlexPrint (DDTL) | IMIA (Term Loan) | Lilly Lashes (TL) | UBEO (DDTL) | Applied Technical Services (Term Loan) | Quantic Electronics (DDTL) | CHA Consulting (DDTL) | Confluent Health (DDTL) | Connatix (DDTL) | Dr. Squatch (DDTL) | Painters Supply and Equipment (DDTL)</t>
  </si>
  <si>
    <t>AFC Industries (DDTL) | Research Horizons (DDTL) | Kentucky Downs (DDTL A) | Kentucky Downs (DDTL B) | Infinity Home Services (DDTL) | FlexPrint (DDTL) | Hanley Wood (DDTL) | Sparq (DDTL) | Manna Pro (DDTL) | Marketplace Events (DDTL) | MES (DDTL) | OSG (DDTL) | Sales Benchmark Index (DDTL) | Hard Rock Gary (DDTL) | Prelude (DDTL) | Hancock (DDTL) | AFC Industries (Common Equity) | Summit Companies (DDTL) | AFC Industries (TL) | Signature Systems Group (TL II)</t>
  </si>
  <si>
    <t>AFC Industries (TL) | AFC Industries (DDTL) | Summit Companies (DDTL) | AFC Industries (Common Equity) | Signature Systems Group (TL II) | DBI (Term Loan B) | DBI (Term Loan C) | Recteq (TL) | Vertex (DDTL) | Zips (DDTL) | Gen3 Marketing (DDTL) | CoolSys (DDTL) | Dr. Squatch (Term Loan) | FlexPrint (DDTL) | IMIA (Term Loan) | Lilly Lashes (TL) | UBEO (DDTL) | Applied Technical Services (Term Loan) | Quantic Electronics (DDTL) | CHA Consulting (DDTL)</t>
  </si>
  <si>
    <t>BBB Industries (First Lien Term Loan) | BBB Industries (Second Lien Term Loan) | Vision Integrated (TL) | BBB Industries (Common Equity) | Recteq (TL) | Vertex (DDTL) | Zips (DDTL) | StrataTech (Term Loan) | Applied Technical Services (Term Loan) | Gen3 Marketing (DDTL) | CoolSys (DDTL) | Dr. Squatch (Term Loan) | FlexPrint (DDTL) | IMIA (Term Loan) | Tensar | Evans Network (1L) | Evans Network (2L) | Electro Rent | Electro Rent (1L) | eCommission (Equity)</t>
  </si>
  <si>
    <t>Research Horizons (DDTL) | Kentucky Downs (DDTL A) | Kentucky Downs (DDTL B) | Infinity Home Services (DDTL) | Bland Landscaping (DDTL) | Summit Companies (DDTL) | FlexPrint (DDTL) | Hanley Wood (DDTL) | Sparq (DDTL) | Manna Pro (DDTL) | Marketplace Events (DDTL) | MES (DDTL) | OSG (DDTL) | Sales Benchmark Index (DDTL) | Hard Rock Gary (DDTL) | Bland Landscaping (Revolver) | Bland Landscaping (Term Loan) | Signature Systems Group (TL II) | DBI (Term Loan B) | DBI (Term Loan C)</t>
  </si>
  <si>
    <t>Bluebird (Term Loan) | OSG (DDTL) | Bluebird (Revolver) | Recteq (TL) | Vertex (DDTL) | Zips (DDTL) | Gen3 Marketing (DDTL) | CoolSys (DDTL) | Dr. Squatch (Term Loan) | FlexPrint (DDTL) | IMIA (Term Loan) | Lilly Lashes (TL) | UBEO (DDTL) | Applied Technical Services (Term Loan) | Quantic Electronics (DDTL) | CHA Consulting (DDTL) | Confluent Health (DDTL) | Connatix (DDTL) | Dr. Squatch (DDTL) | Painters Supply and Equipment (DDTL)</t>
  </si>
  <si>
    <t>BlueHalo (Term Loan) | OSG (DDTL) | Altamira (TL) | Nuvei (Term Loan) | Beta+ (TL) | Recteq (TL) | Vertex (DDTL) | Zips (DDTL) | Applied Technical Services (Term Loan) | Gen3 Marketing (DDTL) | CoolSys (DDTL) | Dr. Squatch (Term Loan) | FlexPrint (DDTL) | IMIA (Term Loan) | Lilly Lashes (TL) | Quantic Electronics (DDTL) | UBEO (DDTL) | Aspect Software (First Lien Fourth Out) | API Technologies (Revolver) | Altamira (RC)</t>
  </si>
  <si>
    <t>BlueHalo (Term Loan) | Schlesinger (DDTL) | Schlesinger (Term Loan) | Recteq (TL) | Vertex (DDTL) | Zips (DDTL) | Global (Term Loan) | Applied Technical Services (Term Loan) | Gen3 Marketing (DDTL) | CoolSys (DDTL) | Dr. Squatch (Term Loan) | FlexPrint (DDTL) | IMIA (Term Loan) | Lilly Lashes (TL) | Quantic Electronics (DDTL) | UBEO (DDTL) | Aspect Software (First Lien Fourth Out) | UniTek (Common Eq) | UniTek (Preferred Eq) | Schlesinger (Revolver)</t>
  </si>
  <si>
    <t>By Light (Revolver) | By Light (Term Loan) | By Light (Equity) | By Light (HoldCo Note) | By Light (DDTL) | Recteq (Revolver) | Vertex (Revolver) | Gen3 Marketing (Revolver) | Datalot (Revolver) | Dr. Squatch (Revolver) | Good2Grow (Revolver) | MeritDirect (Revolver) | OpenRoad Lending (Revolver) | Pragmatic Institute (Revolver) | Quantic Electronics (Revolver) | Questex (Revolver) | Solutionreach (Rev) | UBEO (Revolver) | Convergint (TL) | Learning Care Group (Common)</t>
  </si>
  <si>
    <t>Centauri Health (Revolver) | Connatix (Revolver) | Five Star (Revolver) | Painters Supply and Equipment (Revolver) | Sparq (Revolver) | Seaway (Revolver) | Centauri Health (TL) | Watchtower Buyer (Revolver) | Centauri Health (DDTL) | Carisk Partners (Revolver) | Epiq (Revolver) | Centauri Health (Equity) | Watchtower Buyer (DDTL) | Watchtower Buyer (TL) | Aphix (Common Equity) | Aphix (Term Loan) | Carisk Partners (DDTL) | Carisk Partners (TL) | Connatix (Term Loan) | Epiq (TL)</t>
  </si>
  <si>
    <t>Dr. Squatch (Term Loan) | Dr. Squatch (DDTL) | Dr. Scholl's (Term Loan) | Recteq (TL) | Dr. Squatch (Revolver) | Vertex (DDTL) | Zips (DDTL) | Gen3 Marketing (DDTL) | CoolSys (DDTL) | FlexPrint (DDTL) | IMIA (Term Loan) | Lilly Lashes (TL) | UBEO (DDTL) | Applied Technical Services (Term Loan) | Quantic Electronics (DDTL) | CHA Consulting (DDTL) | Confluent Health (DDTL) | Connatix (DDTL) | Painters Supply and Equipment (DDTL) | Dr. Scholl's (Revolver)</t>
  </si>
  <si>
    <t>Research Horizons (DDTL) | Guild Garage Group (DDTL) | Kentucky Downs (DDTL A) | Kentucky Downs (DDTL B) | Infinity Home Services (DDTL) | FlexPrint (DDTL) | Hanley Wood (DDTL) | Sparq (DDTL) | Manna Pro (DDTL) | Marketplace Events (DDTL) | MES (DDTL) | OSG (DDTL) | Sales Benchmark Index (DDTL) | Hard Rock Gary (DDTL) | Prelude (DDTL) | Hancock (DDTL) | Guild Garage Group (Revolver) | Guild Garage Group (Common Equity) | Guild Garage Group (Term Loan) | PCS Retirement (Term Loan)</t>
  </si>
  <si>
    <t>Infinity Home Services (DDTL) | Infinity Home Services (DDTL) CAD | Hanley Wood (DDTL) | MES (DDTL) | OSG (DDTL) | Research Horizons (DDTL) | Kentucky Downs (DDTL A) | Kentucky Downs (DDTL B) | Crane 1 (DDTL) | Infinity Home Services (Revolver) | Infinity Home Services (Common Equity) | Any Hour Services (DDTL) | Any Hour Services (DDTL II) | Applied Technical Services (DDTL) | Compex (DDTL) | IDC Infusion Services (DDTL) | Infinity Home Services (Term Loan) | Crane 1 (Revolver) | Crane 1 (Term Loan) | Applied Technical Services (Term Loan)</t>
  </si>
  <si>
    <t>Lilly Lashes (TL) | APT Healthcare (Term Loan) | APT Healthcare (Incr. DDTL) | Recteq (TL) | Vertex (DDTL) | Zips (DDTL) | Applied Technical Services (Term Loan) | Gen3 Marketing (DDTL) | CoolSys (DDTL) | Dr. Squatch (Term Loan) | FlexPrint (DDTL) | IMIA (Term Loan) | Quantic Electronics (DDTL) | UBEO (DDTL) | Lilly Lashes (Equity) | Any Hour Services (DDTL) | CHA Consulting (DDTL) | Lilly Lashes (Revolver) | APT Healthcare (Common Equity) | APT Healthcare (Revolver)</t>
  </si>
  <si>
    <t>Lynx Technologies (TL) | Prelude (Incremental Term Loan) | Sigma Defense (Incremental TL) | Lynx Technologies (Common Equity) | Recteq (TL) | Vertex (DDTL) | Zips (DDTL) | Applied Technical Services (Term Loan) | Gen3 Marketing (DDTL) | CoolSys (DDTL) | Dr. Squatch (Term Loan) | FlexPrint (DDTL) | IMIA (Term Loan) | Lilly Lashes (TL) | Quantic Electronics (DDTL) | UBEO (DDTL) | PAR Excellence (Common Equity) | Any Hour Services (DDTL) | CHA Consulting (DDTL) | Lynx Technologies (Revolver)</t>
  </si>
  <si>
    <t>Prelude (Incremental Term Loan) | Sigma Defense (Incremental TL) | MeritDirect (Term Loan) | Apex (DDTL II) | Nsi Industries (DDTL) | Kentucky Downs (DDTL B) | DBI (Term Loan B) | Recteq (TL) | Vertex (DDTL) | Zips (DDTL) | Applied Technical Services (Term Loan) | Gen3 Marketing (DDTL) | CoolSys (DDTL) | Dr. Squatch (Term Loan) | FlexPrint (DDTL) | IMIA (Term Loan) | Lilly Lashes (TL) | MeritDirect (Common Equity) | MeritDirect (Preferred Equity) | MeritDirect (Revolver)</t>
  </si>
  <si>
    <t>MeritDirect (Term Loan) | MeritDirect (Common Equity) | MeritDirect (Preferred Equity) | Kentucky Downs (DDTL A) | MeritDirect (Revolver) | Recteq (TL) | Vertex (DDTL) | Zips (DDTL) | Applied Technical Services (Term Loan) | Gen3 Marketing (DDTL) | CoolSys (DDTL) | Dr. Squatch (Term Loan) | FlexPrint (DDTL) | IMIA (Term Loan) | Lilly Lashes (TL) | Quantic Electronics (DDTL) | UBEO (DDTL) | Smartronix / Trident (TL) | Any Hour Services (DDTL) | CHA Consulting (DDTL)</t>
  </si>
  <si>
    <t>OSG (TL) | OSG (DDTL) | OSG (Common Equity) | Veritext (Equity) | Dominion Voting (Equity) | U.S. Well (Class A) | RTIC (Preferred Equity A) | Epiq (Common) | 360DG (Common Equity) | Guild Garage Group (Common Equity) | Northwinds (Holdco Notes) | Northwinds (Holdco Notes DDTL) | Seaway (Equity) | Veritext (2L) | Veritext (Incremental Second Lien) | Smartronix / Trident (TL) | Magnolia (Common Equity) | Magnolia (Preferred Equity) | Imagine Topco. L.P. (Common Equity - Series B) | Imagine Topco. L.P. (Preferred Equity - Series A)</t>
  </si>
  <si>
    <t>Pragmatic Institute (TL) | Pragmatic Institute (Revolver) | Pragmatic Institute (Common) | Pragmatic Institute (DDTL) | MeritDirect (Common Equity) | Symplr (Common Equity) | UniTek (Common Eq) | Symplr (Common Equity - Unfunded) | RTIC (Preferred Equity C) | Apex (Term Loan C) | Nsi Industries (DDTL) | Apex (DDTL III) | DBI (Term Loan C)</t>
  </si>
  <si>
    <t>C&amp;K Paving Contractors (Term Loan) | C&amp;K Paving Contractors (DDTL) | C&amp;K Paving Contractors (Common Equity) | Recteq (TL) | Vertex (DDTL) | Zips (DDTL) | Gen3 Marketing (DDTL) | CoolSys (DDTL) | Dr. Squatch (Term Loan) | FlexPrint (DDTL) | IMIA (Term Loan) | Lilly Lashes (TL) | UBEO (DDTL) | Applied Technical Services (Term Loan) | Quantic Electronics (DDTL) | CHA Consulting (DDTL) | Confluent Health (DDTL) | Connatix (DDTL) | Dr. Squatch (DDTL) | Painters Supply and Equipment (DDTL)</t>
  </si>
  <si>
    <t>Centauri Health (DDTL) | Centauri Health (TL) | Connatix (DDTL) | Painters Supply and Equipment (DDTL) | Sparq (TL) | Five Star (DDTLB) | Recteq (TL) | Vertex (DDTL) | Zips (DDTL) | Gen3 Marketing (DDTL) | CoolSys (DDTL) | Dr. Squatch (Term Loan) | FlexPrint (DDTL) | IMIA (Term Loan) | Lilly Lashes (TL) | UBEO (DDTL) | Applied Technical Services (Term Loan) | Quantic Electronics (DDTL) | Centauri Health (Equity) | Centauri Health (Revolver)</t>
  </si>
  <si>
    <t>Commercial Fire Protection (Term Loan) | Commercial Fire Protection (DDTL) | Prelude (Incremental Term Loan) | Sigma Defense (Incremental TL) | IMIA (Term Loan) | CHA Consulting (DDTL) | SpendMend (DDTL) | Watterson (DDTL) | 4Wall Entertainment (DDTL) | Hard Rock Gary (DDTL) | Commercial Fire Protection (Common Equity) | Country Fresh (Super Senior TL) | Country Fresh (Interim Bridge DDTL) | Jones &amp; Frank (TL) | Commercial Fire Protection (Revolver) | Recteq (TL) | Vertex (DDTL) | Zips (DDTL) | Applied Technical Services (Term Loan) | Gen3 Marketing (DDTL)</t>
  </si>
  <si>
    <t>Dr. Scholl's (Term Loan) | Prelude (Incremental Term Loan) | Sigma Defense (Incremental TL) | Apex (DDTL III) | API Technologies (TL) | IMIA (Term Loan) | CHA Consulting (DDTL) | SpendMend (DDTL) | Watterson (DDTL) | 4Wall Entertainment (DDTL) | Hard Rock Gary (DDTL) | Recteq (TL) | Vertex (DDTL) | Zips (DDTL) | Country Fresh (Super Senior TL) | Country Fresh (Interim Bridge DDTL) | Applied Technical Services (Term Loan) | Dr. Scholl's (Revolver) | Wheel Pros (1L) | Paris Presents</t>
  </si>
  <si>
    <t>Fairbanks Morse Defense (Term Loan) | IMIA (Term Loan) | CHA Consulting (DDTL) | SpendMend (DDTL) | Watterson (DDTL) | 4Wall Entertainment (DDTL) | Hard Rock Gary (DDTL) | Recteq (TL) | Vertex (DDTL) | Zips (DDTL) | Country Fresh (Super Senior TL) | Country Fresh (Interim Bridge DDTL) | Applied Technical Services (Term Loan) | Gen3 Marketing (DDTL) | CoolSys (DDTL) | Dr. Squatch (Term Loan) | FlexPrint (DDTL) | Lilly Lashes (TL) | Quantic Electronics (DDTL) | UBEO (DDTL)</t>
  </si>
  <si>
    <t>MCR (Term Loan) | Paradigm Oral Surgery (DDTL) | Paradigm Oral Surgery (Term Loan) | Solaris Health (DDTL 2024) | Solaris Health (DDTL) | Solaris Health (Term Loan) | New Jersey Urology (TL) | SightMD (DDTL) | SightMD (TL) | Research Horizons (DDTL) | Sigma Defense (Term Loan) | Hancock (Term Loan) | Sigma Defense (Incremental TL) | Signature Systems Group (TL II) | Hancock (DDTL) | MCR (Revolver) | New Gulf Resources (Common) | Research Now / SSI (SOTL) | Research Now / SSI (1st) | Paradigm Oral Surgery (Revolver)</t>
  </si>
  <si>
    <t>PlayPower (Term Loan) | Recteq (TL) | Vertex (DDTL) | Zips (DDTL) | Gen3 Marketing (DDTL) | CoolSys (DDTL) | Dr. Squatch (Term Loan) | FlexPrint (DDTL) | IMIA (Term Loan) | Lilly Lashes (TL) | UBEO (DDTL) | Applied Technical Services (Term Loan) | Quantic Electronics (DDTL) | CHA Consulting (DDTL) | Confluent Health (DDTL) | Connatix (DDTL) | Dr. Squatch (DDTL) | Painters Supply and Equipment (DDTL) | Sparq (TL) | Hanley Wood (DDTL)</t>
  </si>
  <si>
    <t>Research Horizons (DDTL) | Kentucky Downs (DDTL A) | Kentucky Downs (DDTL B) | Infinity Home Services (DDTL) | FlexPrint (DDTL) | Vertex (DDTL) | Hanley Wood (DDTL) | Sparq (DDTL) | Manna Pro (DDTL) | Marketplace Events (DDTL) | MES (DDTL) | OSG (DDTL) | Sales Benchmark Index (DDTL) | The Original Cakerie Ltd. (CAD Revolver) | The Original Cakerie Ltd. (CAD TL) | The Original Cakerie, Co. (US TL) | The Creative Group (Term Loan) | Bluebird (Term Loan) | Infosoft (TL) | Vertex (Term Loan)</t>
  </si>
  <si>
    <t>Research Horizons (DDTL) | Kentucky Downs (DDTL A) | Kentucky Downs (DDTL B) | Infinity Home Services (DDTL) | FlexPrint (DDTL) | Hanley Wood (DDTL) | Sparq (DDTL) | Manna Pro (DDTL) | Marketplace Events (DDTL) | MES (DDTL) | OSG (DDTL) | Sales Benchmark Index (DDTL) | Hard Rock Gary (DDTL) | Prelude (DDTL) | Hancock (DDTL) | AFC Industries (DDTL) | AFC Industries (Common Equity) | Boss Industries (Revolver) | AFC Industries (TL) | Boss Industries (Term Loan)</t>
  </si>
  <si>
    <t>48Forty (Common Equity) | Recteq (Equity) | Vertex (Common Equity) | Mars Agency (Common Equity) | 48Forty (Term Loan) | nThrive (Senior Common Equity) | nThrive (Senior Common Equity - Unfunded) | Infolinks (Common Equity) | 48Forty (DDTL) | Sales Benchmark Index (Equity) | Applied Technical Services (Common Equity) | Imagine Topco. L.P. (Common Equity - Series B) | OpenRoad Lending (Common Equity) | Seaway (Equity) | Signature Systems Group (Common Equity) | Hancock (Common Equity) | Symplr (Common Equity) | Symplr (Common Equity - Unfunded) | PT Network (Common) | AKW Holdings (Common)</t>
  </si>
  <si>
    <t>4Wall Entertainment (DDTL) | 4Wall Entertainment (Term Loan) | Marketplace Events (USD Term Loan) | Marketplace Events (DDTL) | IMIA (Term Loan) | CHA Consulting (DDTL) | SpendMend (DDTL) | Watterson (DDTL) | Hard Rock Gary (DDTL) | Recteq (TL) | Vertex (DDTL) | Zips (DDTL) | Country Fresh (Super Senior TL) | Country Fresh (Interim Bridge DDTL) | Applied Technical Services (Term Loan) | Gen3 Marketing (DDTL) | CoolSys (DDTL) | Dr. Squatch (Term Loan) | FlexPrint (DDTL) | 4Wall Entertainment (Revolver)</t>
  </si>
  <si>
    <t>Big Top Manufacturing (Term Loan) | Big Top Manufacturing (Common Equity) | IMIA (Term Loan) | CHA Consulting (DDTL) | SpendMend (DDTL) | Big Top Manufacturing (Revolver) | Watterson (DDTL) | 4Wall Entertainment (DDTL) | Hard Rock Gary (DDTL) | Recteq (TL) | Country Fresh (Super Senior TL) | Vertex (DDTL) | Zips (DDTL) | Gen3 Marketing (DDTL) | CoolSys (DDTL) | Dr. Squatch (Term Loan) | FlexPrint (DDTL) | Lilly Lashes (TL) | UBEO (DDTL) | Country Fresh (Interim Bridge DDTL)</t>
  </si>
  <si>
    <t>BlueHalo (Term Loan) | Schlesinger (DDTL) | IMIA (Term Loan) | CHA Consulting (DDTL) | SpendMend (DDTL) | Watterson (DDTL) | 4Wall Entertainment (DDTL) | Hard Rock Gary (DDTL) | Country Fresh (Super Senior TL) | Country Fresh (Interim Bridge DDTL) | Jones &amp; Frank (TL) | Global (Term Loan) | Schlesinger (Term Loan) | Recteq (TL) | Vertex (DDTL) | Zips (DDTL) | Applied Technical Services (Term Loan) | Gen3 Marketing (DDTL) | CoolSys (DDTL) | Dr. Squatch (Term Loan)</t>
  </si>
  <si>
    <t>Integrated Data Services (TL) | Connatix (DDTL) | Painters Supply and Equipment (DDTL) | Sparq (TL) | Centauri Health (DDTL) | Five Star (DDTLB) | Sparq (DDTL) | Integrated Data Services (Rev) | Recteq (TL) | Vertex (DDTL) | Zips (DDTL) | Applied Technical Services (Term Loan) | Gen3 Marketing (DDTL) | CoolSys (DDTL) | Dr. Squatch (Term Loan) | FlexPrint (DDTL) | IMIA (Term Loan) | Big Top Manufacturing (Common Equity) | nThrive (Senior Common Equity) | nThrive (Senior Common Equity - Unfunded)</t>
  </si>
  <si>
    <t>KNS (Term Loan) | KNS (Equity) | Recteq (TL) | Vertex (DDTL) | Zips (DDTL) | Applied Technical Services (Term Loan) | Gen3 Marketing (DDTL) | CoolSys (DDTL) | Dr. Squatch (Term Loan) | FlexPrint (DDTL) | IMIA (Term Loan) | Lilly Lashes (TL) | Quantic Electronics (DDTL) | UBEO (DDTL) | Any Hour Services (DDTL) | CHA Consulting (DDTL) | Confluent Health (DDTL) | Connatix (DDTL) | Dr. Squatch (DDTL) | KNS (Revolver)</t>
  </si>
  <si>
    <t>Radius Aerospace (Term Loan) | Radius Aerospace (Revolver) | Recteq (TL) | Vertex (DDTL) | Zips (DDTL) | Gen3 Marketing (DDTL) | CoolSys (DDTL) | Dr. Squatch (Term Loan) | FlexPrint (DDTL) | IMIA (Term Loan) | Lilly Lashes (TL) | UBEO (DDTL) | Applied Technical Services (Term Loan) | Quantic Electronics (DDTL) | CHA Consulting (DDTL) | Confluent Health (DDTL) | Connatix (DDTL) | Dr. Squatch (DDTL) | Painters Supply and Equipment (DDTL) | Sparq (TL)</t>
  </si>
  <si>
    <t>Roofed Right America (DDTL 2) | Roofed Right America (DDTL 1) | Roofed Right America (Term Loan) | Recteq (TL) | Vertex (DDTL) | Zips (DDTL) | Gen3 Marketing (DDTL) | CoolSys (DDTL) | Dr. Squatch (Term Loan) | FlexPrint (DDTL) | IMIA (Term Loan) | Lilly Lashes (TL) | UBEO (DDTL) | Applied Technical Services (Term Loan) | Quantic Electronics (DDTL) | CHA Consulting (DDTL) | Confluent Health (DDTL) | Connatix (DDTL) | Dr. Squatch (DDTL) | Roofed Right America (Revolver)</t>
  </si>
  <si>
    <t>Research Horizons (DDTL) | Kentucky Downs (DDTL A) | Kentucky Downs (DDTL B) | Infinity Home Services (DDTL) | TVC (DDTL) | FlexPrint (DDTL) | Hanley Wood (DDTL) | Sparq (DDTL) | Manna Pro (DDTL) | Marketplace Events (DDTL) | MES (DDTL) | OSG (DDTL) | Sales Benchmark Index (DDTL) | Hard Rock Gary (DDTL) | Prelude (DDTL) | Hancock (DDTL) | US Fertility (DDTL) | TVC (TL) | US Fertility (Term Loan) | Recteq (TL)</t>
  </si>
  <si>
    <t>TVC (DDTL) | Kentucky Downs (DDTL A) | Recteq (TL) | Vertex (DDTL) | Zips (DDTL) | Gen3 Marketing (DDTL) | CoolSys (DDTL) | Dr. Squatch (Term Loan) | FlexPrint (DDTL) | IMIA (Term Loan) | Lilly Lashes (TL) | UBEO (DDTL) | Applied Technical Services (Term Loan) | Quantic Electronics (DDTL) | CHA Consulting (DDTL) | Confluent Health (DDTL) | Connatix (DDTL) | Dr. Squatch (DDTL) | Painters Supply and Equipment (DDTL) | Sparq (TL)</t>
  </si>
  <si>
    <t>Aeronix (DDTL) | IMIA (Term Loan) | CHA Consulting (DDTL) | SpendMend (DDTL) | Aeronix (Common Equity) | Watterson (DDTL) | 4Wall Entertainment (DDTL) | Hard Rock Gary (DDTL) | Recteq (TL) | Country Fresh (Super Senior TL) | Vertex (DDTL) | Zips (DDTL) | Gen3 Marketing (DDTL) | CoolSys (DDTL) | Dr. Squatch (Term Loan) | FlexPrint (DDTL) | Lilly Lashes (TL) | UBEO (DDTL) | Country Fresh (Interim Bridge DDTL) | Applied Technical Services (Term Loan)</t>
  </si>
  <si>
    <t>Dr. Scholl's (Term Loan) | Apex (DDTL III) | IMIA (Term Loan) | CHA Consulting (DDTL) | SpendMend (DDTL) | Watterson (DDTL) | 4Wall Entertainment (DDTL) | Hard Rock Gary (DDTL) | Country Fresh (Super Senior TL) | Country Fresh (Interim Bridge DDTL) | Jones &amp; Frank (TL) | API Technologies (TL) | Recteq (TL) | Vertex (DDTL) | Zips (DDTL) | Wheel Pros (1L) | Applied Technical Services (Term Loan) | Gen3 Marketing (DDTL) | Dr. Scholl's (Revolver) | Paris Presents</t>
  </si>
  <si>
    <t>Kentucky Downs (DDTL A)</t>
  </si>
  <si>
    <t>Kentucky Downs (DDTL A) | Research Horizons (DDTL) | Kentucky Downs (DDTL B) | Infinity Home Services (DDTL) | Hancock (DDTL) | FlexPrint (DDTL) | Bottom Line Systems | Sabel Systems (Revolver) | Signature Systems Group (RC) | Nevada Behavioral Health Systems (Revolver) | Sabel Systems (Common Equity) | Signature Systems Group (Common Equity) | Signature Systems Group (Preferred Equity) | MCR (Revolver) | Sabel Systems (Term Loan) | Signature Systems Group (TL) | Signature Systems Group (TL II) | MCR (Term Loan) | Nevada Behavioral Health Systems (Term Loan) | Sigma Defense (Term Loan)</t>
  </si>
  <si>
    <t>North American Rail Solutions (Term Loan) | North American Rail Solutions (DDTL) | American Insulated Glass (DDTL) | North American Rail Solutions (Revolver) | Marketplace Events (USD Term Loan) | Recteq (TL) | Vertex (DDTL) | Zips (DDTL) | American Insulated Glass (Term Loan) | Premiere Global Services (PGi) (Term Loan) | Applied Technical Services (Term Loan) | Gen3 Marketing (DDTL) | CoolSys (DDTL) | Dr. Squatch (Term Loan) | FlexPrint (DDTL) | IMIA (Term Loan) | Lilly Lashes (TL) | Quantic Electronics (DDTL) | UBEO (DDTL) | SpendMend (Common Equity)</t>
  </si>
  <si>
    <t>OSG (DDTL) | Recteq (TL) | Vertex (DDTL) | Zips (DDTL) | Applied Technical Services (Term Loan) | Gen3 Marketing (DDTL) | CoolSys (DDTL) | Dr. Squatch (Term Loan) | FlexPrint (DDTL) | IMIA (Term Loan) | Lilly Lashes (TL) | Quantic Electronics (DDTL) | UBEO (DDTL) | Smartronix / Trident (TL) | Any Hour Services (DDTL) | CHA Consulting (DDTL) | Confluent Health (DDTL) | Connatix (DDTL) | Dr. Squatch (DDTL) | Painters Supply and Equipment (DDTL)</t>
  </si>
  <si>
    <t>STG (TL) | STG (Second Out Term Loans) | STG (First Out New Money Term Loans) | Country Fresh (Interim Bridge DDTL) | BlackHawk Industrial (DDTL) | Marketplace Events (USD Term Loan) | Signature Systems Group (TL II) | Marketplace Events (DDTL) | Plimpton &amp; Hills (TL) | Plimpton &amp; Hills (DDTL) | Recteq (TL) | Vertex (DDTL) | Zips (DDTL) | BlackHawk Industrial (Incremental TL) | BlackHawk Industrial (TL) | WhiteHawk Industrial (TL) | First Medical Associates (DDTL) | Country Fresh (Interim Bridge) | Aspect Software (First Lien Fourth Out) | Aspect Software (First Lien Third Out Tranche B)</t>
  </si>
  <si>
    <t>Zips (Term Loan) | Zips (DDTL) | Zips (New OpCo Term Loan) | Zips (Rollup DIP Term Loan) | Zips (New Money DIP Term Loan) | Zips (Common Equity) | Zips (New HoldCo Note) | Zips (Revolver) | Recteq (TL) | Vertex (DDTL) | Applied Technical Services (Term Loan) | Gen3 Marketing (DDTL) | CoolSys (DDTL) | Dr. Squatch (Term Loan) | FlexPrint (DDTL) | IMIA (Term Loan) | Lilly Lashes (TL) | Quantic Electronics (DDTL) | UBEO (DDTL) | Magnolia (Common Equity)</t>
  </si>
  <si>
    <t>4Wall Entertainment (DDTL) | Marketplace Events (USD Term Loan) | Marketplace Events (DDTL) | 4Wall Entertainment (Term Loan) | Signature Systems Group (TL II) | Country Fresh (Interim Bridge DDTL) | IMIA (Term Loan) | Ascensus (2L Term Loan) | CHA Consulting (DDTL) | SpendMend (DDTL) | Watterson (DDTL) | Hard Rock Gary (DDTL) | Recteq (TL) | Vertex (DDTL) | Zips (DDTL) | Country Fresh (Super Senior TL) | First Medical Associates (DDTL) | 4Wall Entertainment (Revolver) | McAfee (First Lien) | Country Fresh (Interim Bridge)</t>
  </si>
  <si>
    <t>A1 Garage (Common Equity) | Infolinks (Common Equity) | Sales Benchmark Index (Equity) | OpenRoad Lending (Common Equity) | Seaway (Equity) | Applied Technical Services (Common Equity) | Recteq (Equity) | Vertex (Common Equity) | Imagine Topco. L.P. (Common Equity - Series B) | Exigo (Common Equity) | Berlin Packaging (Common Equity) | Pink Lily (Equity) | Symplr (Common Equity) | Symplr (Common Equity - Unfunded) | Meadowlark (Common Equity) | Smartronix / Trident (Common Equity) | A1 Garage (Revolver) | A1 Garage (Term Loan) | A1 Garage (DDTL) | AKW Holdings (Common)</t>
  </si>
  <si>
    <t>Archer Lewis (Revolver) | Archer Lewis (Term Loan) | Archer Lewis (Unfunded DDTL B) | Archer Lewis (Unfunded DDTL A) | Archer Lewis (Common Equity) | First Medical Associates (Revolver) | Recteq (Revolver) | Vertex (Revolver) | Gen3 Marketing (Revolver) | Datalot (Revolver) | McAfee (First Lien) | Marketplace Events (USD Term Loan) | Marketplace Events (DDTL) | Signature Systems Group (TL II) | First Medical Associates (DDTL) | First Medical Associates (Term Loan) | First Medical Associates (Common Equity) | Ascensus (2L Term Loan) | TEAM Services Group (Second Lien Term Loan) | Country Fresh (Interim Bridge)</t>
  </si>
  <si>
    <t>Beta+ (TL) | Altamira (TL) | Nuvei (Term Loan) | Recteq (TL) | Vertex (DDTL) | Zips (DDTL) | BlueHalo (Term Loan) | Applied Technical Services (Term Loan) | Gen3 Marketing (DDTL) | CoolSys (DDTL) | Dr. Squatch (Term Loan) | FlexPrint (DDTL) | IMIA (Term Loan) | Lilly Lashes (TL) | Quantic Electronics (DDTL) | UBEO (DDTL) | Any Hour Services (DDTL) | CHA Consulting (DDTL) | API Technologies (Revolver) | Altamira (RC)</t>
  </si>
  <si>
    <t>Sparq (TL) | Prelude (Incremental Term Loan) | Sigma Defense (Incremental TL) | Crane 1 (DDTL) | Crane 1 (Term Loan) | IMIA (Term Loan) | CHA Consulting (DDTL) | SpendMend (DDTL) | Watterson (DDTL) | 4Wall Entertainment (DDTL) | Hard Rock Gary (DDTL) | Country Fresh (Super Senior TL) | Country Fresh (Interim Bridge DDTL) | Recteq (TL) | Vertex (DDTL) | Zips (DDTL) | Crane 1 (Common Equity) | Learning Care Group (Common) | DBI (Preferred) | Crane 1 (Revolver)</t>
  </si>
  <si>
    <t>BiggerPockets (Revolver) | BiggerPockets (TL) | ImagineAcquisitionCo (Revolver) | Pink Lily (Revolver) | BiggerPockets (Common Equity) | Mission Microwave (Revolver) | First Medical Associates (Revolver) | McAfee (First Lien) | Marketplace Events (USD Term Loan) | Marketplace Events (DDTL) | Signature Systems Group (TL II) | ImagineAcquisitionCo (Term Loan) | Mission Microwave (Term Loan) | Pink Lily (Equity) | Pink Lily (Term Loan) | First Medical Associates (DDTL) | First Medical Associates (Term Loan) | First Medical Associates (Common Equity) | Ascensus (2L Term Loan) | TEAM Services Group (Second Lien Term Loan)</t>
  </si>
  <si>
    <t>Carnegie Dartlet (DDTL) | Research Horizons (DDTL) | Kentucky Downs (DDTL A) | Kentucky Downs (DDTL B) | Infinity Home Services (DDTL) | Marketplace Events (DDTL) | FlexPrint (DDTL) | Hanley Wood (DDTL) | Sparq (DDTL) | Manna Pro (DDTL) | MES (DDTL) | OSG (DDTL) | Sales Benchmark Index (DDTL) | Hard Rock Gary (DDTL) | Prelude (DDTL) | Carnegie Dartlet (Revolver) | Carnegie Dartlet (Common Equity) | Carnegie Dartlet (Term Loan) | Marketplace Events (USD Term Loan) | Signature Systems Group (TL II)</t>
  </si>
  <si>
    <t>Comprehensive Rehab Consultants (Term Loan) | Comprehensive Rehab Consultants (Revolver) | Comprehensive Rehab Consultants (Common Equity) | Confluent Health (DDTL) | Rancho (DDTL) | Cano Health (Term Loan) | Confluent Health (TL) | Confluent Health (Incremental TL) | Ro Health (Revolver) | Ro Health (Term Loan) | Nevada Behavioral Health Systems (Revolver) | Douglas (Term Loan) | Rancho (TL) | Ro Health (Common Equity) | EvAl (Common Equity) | EvAl (Term Loan) | EvAl (Revolver) | Cano Health (Equity) | Rancho (Revolver) | Recteq (TL)</t>
  </si>
  <si>
    <t>Engine &amp; Transmission Exchange (Common Equity) | Infolinks (Common Equity) | Sales Benchmark Index (Equity) | OpenRoad Lending (Common Equity) | Seaway (Equity) | Infosoft (Common Equity) | Lilly Lashes (Equity) | Loving Tan (Equity) | Schlesinger (Equity) | Applied Technical Services (Common Equity) | Recteq (Equity) | Vertex (Common Equity) | Imagine Topco. L.P. (Common Equity - Series B) | Symplr (Common Equity) | Symplr (Common Equity - Unfunded) | Hancock (Common Equity) | TVC (Equity) | nThrive (Senior Common Equity) | Engine &amp; Transmission Exchange (Promissory Note) | Schlesinger (Term Loan)</t>
  </si>
  <si>
    <t>Seaway (Equity) | Imagine Topco. L.P. (Common Equity - Series B) | Infolinks (Common Equity) | Sales Benchmark Index (Equity) | OpenRoad Lending (Common Equity) | Imagine Topco. L.P. (Preferred Equity - Series A) | Applied Technical Services (Common Equity) | Recteq (Equity) | Vertex (Common Equity) | Symplr (Common Equity) | Symplr (Common Equity - Unfunded) | Hancock (Common Equity) | nThrive (Senior Common Equity) | nThrive (Senior Common Equity - Unfunded) | Epiq (Common) | 360DG (Common Equity) | Guild Garage Group (Common Equity) | Epiq (TL) | Epiq (Revolver) | Epiq (DDTL)</t>
  </si>
  <si>
    <t>Marketplace Events (USD Term Loan) | Signature Systems Group (TL II) | Marketplace Events (DDTL) | Evans Network (1L) | Evans Network (2L) | Country Fresh (Interim Bridge DDTL) | Recteq (TL) | Vertex (DDTL) | Zips (DDTL) | Vision Integrated (TL) | StrataTech (Term Loan) | First Medical Associates (DDTL) | First Medical Associates (Term Loan) | McAfee (First Lien) | Tensar | Electro Rent | Electro Rent (1L) | eCommission (Equity) | First Medical Associates (Common Equity) | First Medical Associates (Revolver)</t>
  </si>
  <si>
    <t>Federal Advisory Partners (First Lien Term Loan) | Federal Advisory Partners (Term Loan) | Marketplace Events (USD Term Loan) | Signature Systems Group (TL II) | Marketplace Events (DDTL) | Country Fresh (Interim Bridge DDTL) | Federal Advisory Partners (Revolver) | New Jersey Urology (TL) | Recteq (TL) | Vertex (DDTL) | Zips (DDTL) | First Medical Associates (DDTL) | First Medical Associates (Term Loan) | Applied Technical Services (Term Loan) | Gen3 Marketing (DDTL) | CoolSys (DDTL) | Dr. Squatch (Term Loan) | McAfee (First Lien) | First Medical Associates (Common Equity) | First Medical Associates (Revolver)</t>
  </si>
  <si>
    <t>Infinity Home Services (Common Equity) | Infinity Home Services (Term Loan) | Infinity Home Services (Revolver) | Infinity Home Services (DDTL) | Infinity Home Services (DDTL) CAD | Hanley Wood (DDTL) | Applied Technical Services (Common Equity) | Applied Technical Services (Term Loan) | EvAl (Common Equity) | Any Hour Services (DDTL) | Any Hour Services (DDTL II) | Applied Technical Services (DDTL) | Crane 1 (DDTL) | Compex (DDTL) | IDC Infusion Services (DDTL) | MES (DDTL) | Paradigm Oral Surgery (DDTL) | OSG (DDTL) | EvAl (Term Loan) | EvAl (Revolver)</t>
  </si>
  <si>
    <t>Jones &amp; Frank (TL) | IMIA (Term Loan) | CHA Consulting (DDTL) | SpendMend (DDTL) | Watterson (DDTL) | 4Wall Entertainment (DDTL) | Hard Rock Gary (DDTL) | Jones &amp; Frank (Common) | Country Fresh (Super Senior TL) | Jones &amp; Frank (Preferred) | Country Fresh (Interim Bridge DDTL) | Jones &amp; Frank (Series B) | Recteq (TL) | Vertex (DDTL) | Zips (DDTL) | Applied Technical Services (Term Loan) | Gen3 Marketing (DDTL) | CoolSys (DDTL) | Dr. Squatch (Term Loan) | FlexPrint (DDTL)</t>
  </si>
  <si>
    <t>4Wall Entertainment (Revolver) | 4Wall Entertainment (Term Loan) | 4Wall Entertainment (DDTL) | ECL Entertainment (Term Loan) | Colonial Downs (TL) | Peninsula Pacific Entertainment (DDTL B) | Peninsula Pacific Entertainment (Term Loan B) | Mom And Pop (Term Loan) | Colonial Downs (DDTL) | Kentucky Downs (Warrants)</t>
  </si>
  <si>
    <t>Any Hour Services (Term Loan) | Any Hour Services (Revolver) | Any Hour Services (DDTL) | Any Hour Services (Common Equity) | Any Hour Services (DDTL II) | Applied Technical Services (Term Loan) | IDC Infusion Services (Term Loan) | OSG (Common Equity) | OSG (TL) | TEAM Services Group (First Lien Term Loan) | TEAM Services Group (Second Lien Term Loan) | Premiere Global Services (PGi) (Term Loan) | Infinity Home Services (Common Equity) | Infinity Home Services (Term Loan) | United Land Services (Common Equity) | Crane 1 (Term Loan) | Compex (TL) | Compex (Incremental TL) | MES (Term Loan) | Northwinds (Common Equity)</t>
  </si>
  <si>
    <t>Cano Health (Equity) | Cano Health (Term Loan) | Confluent Health (TL) | Confluent Health (Incremental TL) | Ro Health (Revolver) | Ro Health (Term Loan) | Ro Health (Common Equity) | Comprehensive Rehab Consultants (Term Loan) | Comprehensive Rehab Consultants (Revolver) | Nevada Behavioral Health Systems (Revolver) | Comprehensive Rehab Consultants (Common Equity) | Douglas (Term Loan) | Rancho (TL) | Confluent Health (DDTL) | Rancho (Revolver) | EvAl (Common Equity) | Rancho (DDTL) | EvAl (Term Loan) | EvAl (Revolver) | Centauri Health (TL)</t>
  </si>
  <si>
    <t>Infinity Home Services (Revolver) | Infinity Home Services (Common Equity) | Infinity Home Services (Term Loan) | Infinity Home Services (DDTL) | Infinity Home Services (DDTL) CAD | EvAl (Common Equity) | EvAl (Term Loan) | EvAl (Revolver) | Any Hour Services (Term Loan) | Applied Technical Services (Term Loan) | IDC Infusion Services (Term Loan) | OSG (Common Equity) | OSG (TL) | TEAM Services Group (First Lien Term Loan) | TEAM Services Group (Second Lien Term Loan) | Premiere Global Services (PGi) (Term Loan) | United Land Services (Common Equity) | Crane 1 (Term Loan) | Compex (TL) | Compex (Incremental TL)</t>
  </si>
  <si>
    <t>Watterson (Revolver) | IMIA (Revolver) | Intellectual Technology, Inc. (Rev) | Kele (Revolver) | Momentum (Revolver) | SpendMend (Revolver) | Country Fresh (Revolver) | Dr. Scholl's (Revolver) | Insight Global (Rev) | 4Wall Entertainment (Revolver) | Mars Agency (Revolver) | RTIC (Revolver) | Vertex (Revolver) | Gen3 Marketing (Revolver) | Datalot (Revolver) | Good2Grow (Revolver) | MeritDirect (Revolver) | Watterson (TL) | Watterson (Equity) | Watterson (DDTL)</t>
  </si>
  <si>
    <t>Watchtower Buyer (Revolver) | Watchtower (Revolver) | Connatix (Revolver) | Painters Supply and Equipment (Revolver) | Centauri Health (Revolver) | Seaway (Revolver) | Watchtower Buyer (TL) | Watchtower (TL) | Watchtower Buyer (DDTL) | Watchtower (DDTL) | Five Star (Revolver) | Sparq (Revolver) | Vertex (Revolver) | Gen3 Marketing (Revolver) | Datalot (Revolver) | Good2Grow (Revolver) | Watchtower Holding (Common Equity) | Connatix (DDTL) | Painters Supply and Equipment (DDTL) | Centauri Health (DDTL)</t>
  </si>
  <si>
    <t>UniVista (Equity) | Infolinks (Common Equity) | Sales Benchmark Index (Equity) | OpenRoad Lending (Common Equity) | Seaway (Equity) | Applied Technical Services (Common Equity) | Recteq (Equity) | Vertex (Common Equity) | Imagine Topco. L.P. (Common Equity - Series B) | Symplr (Common Equity) | Symplr (Common Equity - Unfunded) | Hancock (Common Equity) | nThrive (Senior Common Equity) | nThrive (Senior Common Equity - Unfunded) | Berlin Packaging (Common Equity) | Exigo (Common Equity) | Pink Lily (Equity) | A1 Garage (Common Equity) | Meadowlark (Common Equity) | AKW Holdings (Common)</t>
  </si>
  <si>
    <t>Tranzact (DDTL) | Tranzact (Term Loan) | Connatix (DDTL) | Painters Supply and Equipment (DDTL) | Centauri Health (DDTL) | Five Star (DDTLB) | Sparq (TL) | Vertex (DDTL) | Zips (DDTL) | Gen3 Marketing (DDTL) | CoolSys (DDTL) | FlexPrint (DDTL) | UBEO (DDTL) | Quantic Electronics (DDTL) | CHA Consulting (DDTL) | Confluent Health (DDTL) | Dr. Squatch (DDTL) | Hanley Wood (DDTL) | Tranzact (Revolver) | Tranzact (Common Equity)</t>
  </si>
  <si>
    <t>TransGo (Equity) | Recteq (Equity) | Vertex (Common Equity) | nThrive (Senior Common Equity) | nThrive (Senior Common Equity - Unfunded) | Infolinks (Common Equity) | Sales Benchmark Index (Equity) | Applied Technical Services (Common Equity) | Imagine Topco. L.P. (Common Equity - Series B) | OpenRoad Lending (Common Equity) | Seaway (Equity) | Hancock (Common Equity) | Symplr (Common Equity) | Symplr (Common Equity - Unfunded) | Ad.net (Common Equity) | MeritDirect (Common Equity) | Ledge Lounger (Equity) | Cascade (Common Equity) | Watterson (Equity) | AKW Holdings (Common)</t>
  </si>
  <si>
    <t>STG (TL) | STG (Second Out Term Loans) | STG (First Out New Money Term Loans) | Ascensus (2L Term Loan) | BlackHawk Industrial (DDTL) | Country Fresh (Interim Bridge DDTL) | Plimpton &amp; Hills (TL) | Plimpton &amp; Hills (DDTL) | BlackHawk Industrial (Incremental TL) | BlackHawk Industrial (TL) | WhiteHawk Industrial (TL) | Recteq (TL) | Vertex (DDTL) | Zips (DDTL) | Applied Technical Services (Term Loan) | Aspect Software (First Lien Fourth Out) | Aspect Software (First Lien Third Out Tranche B) | Country Fresh (Interim Bridge) | BlackHawk Industrial (Common Equity) | BlackHawk Industrial (Revolver)</t>
  </si>
  <si>
    <t>IMIA (Revolver) | Intellectual Technology, Inc. (Rev) | Kele (Revolver) | Momentum (Revolver) | SpendMend (Revolver) | Country Fresh (Revolver) | Dr. Scholl's (Revolver) | Watterson (Revolver) | Insight Global (Rev) | 4Wall Entertainment (Revolver) | Mars Agency (Revolver) | RTIC (Revolver) | Vertex (Revolver) | Gen3 Marketing (Revolver) | Datalot (Revolver) | Good2Grow (Revolver) | MeritDirect (Revolver) | Questex (Revolver) | Recteq (Revolver) | Sparq (TL)</t>
  </si>
  <si>
    <t>Schlesinger (Equity) | Infosoft (Common Equity) | Lilly Lashes (Equity) | TVC (Equity) | Infolinks (Common Equity) | Sales Benchmark Index (Equity) | OpenRoad Lending (Common Equity) | Seaway (Equity) | Engine &amp; Transmission Exchange (Common Equity) | Loving Tan (Equity) | Applied Technical Services (Common Equity) | Recteq (Equity) | Vertex (Common Equity) | Imagine Topco. L.P. (Common Equity - Series B) | Symplr (Common Equity) | Symplr (Common Equity - Unfunded) | Hancock (Common Equity) | nThrive (Senior Common Equity) | Schlesinger (Term Loan) | Engine &amp; Transmission Exchange (Promissory Note)</t>
  </si>
  <si>
    <t>ProSearch (Revolver) | KNS (Revolver) | LifePort (Revolver) | Vertex (Revolver) | Gen3 Marketing (Revolver) | Datalot (Revolver) | Good2Grow (Revolver) | MeritDirect (Revolver) | Questex (Revolver) | Recteq (Revolver) | Solutionreach (Rev) | UBEO (Revolver) | OpenRoad Lending (Revolver) | Peninsula Pacific Entertainment (Term Loan B) | Peninsula Pacific Entertainment (DDTL B) | ProSearch (TL) | ProSearch (DDTL) | Colonial Downs (DDTL) | ProSearch (Common Equity) | Colonial Downs (TL)</t>
  </si>
  <si>
    <t>Aechelon (Common Equity) | Infolinks (Common Equity) | Sales Benchmark Index (Equity) | OpenRoad Lending (Common Equity) | Seaway (Equity) | Applied Technical Services (Common Equity) | Recteq (Equity) | Vertex (Common Equity) | Imagine Topco. L.P. (Common Equity - Series B) | Aechelon (Revolver) | Symplr (Common Equity) | Symplr (Common Equity - Unfunded) | Hancock (Common Equity) | nThrive (Senior Common Equity) | nThrive (Senior Common Equity - Unfunded) | Aechelon (Term Loan) | Athene (Equity) | Sigma Defense (Equity) | Federal Advisory Partners (Common Equity) | GCOM (Common Equity)</t>
  </si>
  <si>
    <t>BiggerPockets (Common Equity) | Infolinks (Common Equity) | Any Hour Services (Common Equity) | Sales Benchmark Index (Equity) | Applied Technical Services (Common Equity) | Imagine Topco. L.P. (Common Equity - Series B) | OpenRoad Lending (Common Equity) | Seaway (Equity) | BiggerPockets (TL) | BiggerPockets (Revolver) | Recteq (Equity) | Vertex (Common Equity) | Hancock (Common Equity) | Symplr (Common Equity) | Symplr (Common Equity - Unfunded) | nThrive (Senior Common Equity) | nThrive (Senior Common Equity - Unfunded) | Crash Champions (Equity) | IDC Infusion Services (Common Equity) | OCS / NES (Common)</t>
  </si>
  <si>
    <t>OpenRoad Lending (Preferred Equity) | OpenRoad Lending (Common Equity) | Integrity Marketing (Preferred Equity) | Vertex (Preferred Equity) | Imagine Topco. L.P. (Preferred Equity - Series A) | Signature Systems Group (Preferred Equity) | Smartronix / Trident (Common Equity) | nThrive (Preferred Equity) | Berlin Packaging (Common Equity) | Exigo (Common Equity) | Infolinks (Common Equity) | Pink Lily (Equity) | Ad.net (Preferred Equity) | MeritDirect (Preferred Equity) | C5MI (Common Equity) | C5MI (Preferred Equity) | Carnegie Dartlet (Common Equity) | UniTek (DDTL) | UniTek (Super Pref) | Hanley Wood (TL)</t>
  </si>
  <si>
    <t>Connatix (Common Equity) | Recteq (Equity) | Vertex (Common Equity) | Infolinks (Common Equity) | Sales Benchmark Index (Equity) | OpenRoad Lending (Common Equity) | Seaway (Equity) | RTIC (Common Equity) | Applied Technical Services (Common Equity) | Imagine Topco. L.P. (Common Equity - Series B) | Vertex (Preferred Equity) | Symplr (Common Equity) | Symplr (Common Equity - Unfunded) | Hancock (Common Equity) | nThrive (Senior Common Equity) | nThrive (Senior Common Equity - Unfunded) | Connatix (Revolver) | Connatix (Term Loan) | Connatix (DDTL) | Berlin Packaging (Common Equity)</t>
  </si>
  <si>
    <t>Connatix (Common Equity) | Vertex (Preferred Equity) | OpenRoad Lending (Preferred Equity) | Integrity Marketing (Preferred Equity) | Imagine Topco. L.P. (Preferred Equity - Series A) | RTIC (Preferred Equity A) | RTIC (Preferred Equity B) | RTIC (Preferred Equity C) | RTIC (Preferred Equity D) | Recteq (Equity) | Vertex (Common Equity) | Connatix (Revolver) | Connatix (Term Loan) | Connatix (DDTL) | nThrive (Preferred Equity) | Berlin Packaging (Common Equity) | Exigo (Common Equity) | Infolinks (Common Equity) | UniTek (DDTL) | UniTek (Super Pref)</t>
  </si>
  <si>
    <t>Rancho (Equity) | Recteq (Equity) | Vertex (Common Equity) | Infolinks (Common Equity) | Sales Benchmark Index (Equity) | OpenRoad Lending (Common Equity) | Seaway (Equity) | RTIC (Common Equity) | Applied Technical Services (Common Equity) | Imagine Topco. L.P. (Common Equity - Series B) | Vertex (Preferred Equity) | Symplr (Common Equity) | Symplr (Common Equity - Unfunded) | Hancock (Common Equity) | nThrive (Senior Common Equity) | nThrive (Senior Common Equity - Unfunded) | Berlin Packaging (Common Equity) | Exigo (Common Equity) | Pink Lily (Equity) | Carisk Partners (Equity)</t>
  </si>
  <si>
    <t>Tranzact (Common Equity) | Infolinks (Common Equity) | Recteq (Equity) | Vertex (Common Equity) | Sales Benchmark Index (Equity) | OpenRoad Lending (Common Equity) | Seaway (Equity) | Applied Technical Services (Common Equity) | Imagine Topco. L.P. (Common Equity - Series B) | nThrive (Senior Common Equity) | nThrive (Senior Common Equity - Unfunded) | MeritDirect (Common Equity) | Ad.net (Common Equity) | Symplr (Common Equity) | Symplr (Common Equity - Unfunded) | Ledge Lounger (Equity) | Tranzact (DDTL) | Tranzact (Revolver) | Tranzact (Term Loan) | AKW Holdings (Common)</t>
  </si>
  <si>
    <t>Tyto Athene (Equity) | Infolinks (Common Equity) | Recteq (Equity) | Vertex (Common Equity) | Sales Benchmark Index (Equity) | OpenRoad Lending (Common Equity) | Seaway (Equity) | Applied Technical Services (Common Equity) | Imagine Topco. L.P. (Common Equity - Series B) | nThrive (Senior Common Equity) | nThrive (Senior Common Equity - Unfunded) | MeritDirect (Common Equity) | Ad.net (Common Equity) | Symplr (Common Equity) | Symplr (Common Equity - Unfunded) | Ledge Lounger (Equity) | Cascade (Common Equity) | Watterson (Equity) | Tyto Athene (Pref) | AKW Holdings (Common)</t>
  </si>
  <si>
    <t>Tyto Athene (Equity) | Vertex (Preferred Equity) | OpenRoad Lending (Preferred Equity) | Integrity Marketing (Preferred Equity) | Imagine Topco. L.P. (Preferred Equity - Series A) | MeritDirect (Preferred Equity) | nThrive (Preferred Equity) | Ad.net (Preferred Equity) | Cascade (Preferred Equity) | Ledge Lounger (Equity) | Mars Agency (Preferred Equity) | RTIC (Preferred Equity A) | RTIC (Preferred Equity B) | RTIC (Preferred Equity C) | RTIC (Preferred Equity D) | Tyto Athene (Pref) | UniTek (DDTL) | AKW Holdings (Common) | UniTek (Super Pref) | PT Network (Pref)</t>
  </si>
  <si>
    <t>Vertex (Common Equity) | Vertex (Preferred Equity) | Recteq (Equity) | RTIC (Common Equity) | Infolinks (Common Equity) | Sales Benchmark Index (Equity) | OpenRoad Lending (Common Equity) | Seaway (Equity) | Applied Technical Services (Common Equity) | Imagine Topco. L.P. (Common Equity - Series B) | nThrive (Senior Common Equity) | nThrive (Senior Common Equity - Unfunded) | MeritDirect (Common Equity) | Infogroup (C Equity) | NORA (Common Equity) | RTIC (Preferred Equity B) | RTIC (Preferred Equity A) | Ad.net (Common Equity) | Symplr (Common Equity) | AKW Holdings (Common)</t>
  </si>
  <si>
    <t>Vertex (Preferred Equity) | Vertex (Common Equity) | RTIC (Preferred Equity A) | RTIC (Preferred Equity B) | RTIC (Preferred Equity C) | RTIC (Preferred Equity D) | Recteq (Equity) | OpenRoad Lending (Preferred Equity) | Integrity Marketing (Preferred Equity) | Imagine Topco. L.P. (Preferred Equity - Series A) | MeritDirect (Preferred Equity) | nThrive (Preferred Equity) | Ad.net (Preferred Equity) | Infogroup (C Equity) | NORA (Common Equity) | RTIC (Common Equity) | Cascade (Preferred Equity) | UniTek (DDTL) | AKW Holdings (Common) | UniTek (Super Pref)</t>
  </si>
  <si>
    <t>Watchtower Holding (Common Equity) | Infolinks (Common Equity) | Recteq (Equity) | Vertex (Common Equity) | Sales Benchmark Index (Equity) | OpenRoad Lending (Common Equity) | Seaway (Equity) | Applied Technical Services (Common Equity) | Imagine Topco. L.P. (Common Equity - Series B) | nThrive (Senior Common Equity) | nThrive (Senior Common Equity - Unfunded) | MeritDirect (Common Equity) | Ad.net (Common Equity) | Watchtower (Revolver) | Watchtower (TL) | Watchtower (DDTL) | Watchtower Buyer (Revolver) | Watchtower Buyer (TL) | Watchtower Buyer (DDTL) | AKW Holdings (Common)</t>
  </si>
  <si>
    <t>Watterson (Equity) | Infolinks (Common Equity) | Recteq (Equity) | Vertex (Common Equity) | Sales Benchmark Index (Equity) | OpenRoad Lending (Common Equity) | Seaway (Equity) | Applied Technical Services (Common Equity) | Imagine Topco. L.P. (Common Equity - Series B) | nThrive (Senior Common Equity) | nThrive (Senior Common Equity - Unfunded) | MeritDirect (Common Equity) | Ad.net (Common Equity) | Symplr (Common Equity) | Symplr (Common Equity - Unfunded) | Ledge Lounger (Equity) | Watterson (TL) | Watterson (Revolver) | Watterson (DDTL) | AKW Holdings (Common)</t>
  </si>
  <si>
    <t>Total Cases: 99
Family Top-1 Accuracy: 83.84%
Family Top-5 Accuracy: 94.95%</t>
  </si>
  <si>
    <t>Security match</t>
  </si>
  <si>
    <t>security name is similar to mastercomp security name, and company name is similar to master comp family name or soi name</t>
  </si>
  <si>
    <t>total cases</t>
  </si>
  <si>
    <t>company match</t>
  </si>
  <si>
    <t>security name is not similar, but company name is similar to family name or soi name</t>
  </si>
  <si>
    <t>top 1</t>
  </si>
  <si>
    <t>Company match(security name input)not correct</t>
  </si>
  <si>
    <t>company knowledge graph</t>
  </si>
  <si>
    <t>nothing is similar</t>
  </si>
  <si>
    <t>expected_family</t>
  </si>
  <si>
    <t>predicted_family</t>
  </si>
  <si>
    <t>family_correct</t>
  </si>
  <si>
    <t>family_top_matches</t>
  </si>
  <si>
    <t>family_topk_correct</t>
  </si>
  <si>
    <t>family_rank</t>
  </si>
  <si>
    <t>Marketplace Events</t>
  </si>
  <si>
    <t>Marketplace Events | Marketplace Events | Marketplace Events | 360DG | 360DG | 360DG | APRA | Connatix | Painters Supply and Equipment | Sparq | Centauri Health | First Star | Recteq | Vertex | Marketplace Events | 360DG | Marketplace Events | 360DG | APRA | APRA</t>
  </si>
  <si>
    <t>48Forty | 48Forty | 48Forty | MeritDirect | RTIC | | Real Life Residential | Real Life Residential | Real Life Residential | Convergint | Mars Agency | Mars Agency | nThrive | | | PhaseWell Research | PhaseWell Research | PhaseWell Research | EvAl | EvAl</t>
  </si>
  <si>
    <t>Ad.net | 48Forty | Integrity Marketing | Recteq | Vertex | Zips | Gen3 Marketing | CoolSys | Dr. Squatch | | | Lilly Lashes | UBEO | Applied Technical Services | Quantic Electronics | CHA Consulting | Confluent Health | Ad.net | Ad.net | Ad.net</t>
  </si>
  <si>
    <t>Aechelon | Aechelon | Aechelon | Recteq | Vertex | Zips | Gen3 Marketing | CoolSys | Dr. Squatch | | | Lilly Lashes | UBEO | Applied Technical Services | Quantic Electronics | CHA Consulting | Confluent Health | Connatix | Dr. Squatch | Painters Supply and Equipment</t>
  </si>
  <si>
    <t>AFC Acquisitions | | | | Infinity Home Services | | Hanley Wood | Sparq | Manna Pro | Marketplace Events | MES | OSG Billing Services | Sales Benchmark Index (SBI) | | Prelude | AFC Acquisitions | Hancock | | AFC Acquisitions | Signature Systems Group</t>
  </si>
  <si>
    <t>AFC Acquisitions | AFC Acquisitions | AFC Acquisitions | | Signature Systems Group | | | Recteq | Vertex | Zips | Gen3 Marketing | CoolSys | Dr. Squatch | | | Lilly Lashes | UBEO | Applied Technical Services | Quantic Electronics | CHA Consulting</t>
  </si>
  <si>
    <t>BBB Industries | BBB Industries | Vision Integrated | BBB Industries | Recteq | Vertex | Zips | StrataTech | Applied Technical Services | Gen3 Marketing | CoolSys | Dr. Squatch | | | | Evans Network | Evans Network | Electro Rent | Electro Rent | eCommission</t>
  </si>
  <si>
    <t>Bland Landscaping | | | | Infinity Home Services | | | Hanley Wood | Sparq | Manna Pro | Marketplace Events | MES | OSG Billing Services | Sales Benchmark Index (SBI) | | Bland Landscaping | Bland Landscaping | Signature Systems Group | |</t>
  </si>
  <si>
    <t>Bluebird | OSG Billing Services | Bluebird | Recteq | Vertex | Zips | Gen3 Marketing | CoolSys | Dr. Squatch | | | Lilly Lashes | UBEO | Applied Technical Services | Quantic Electronics | CHA Consulting | Confluent Health | Connatix | Dr. Squatch | Painters Supply and Equipment</t>
  </si>
  <si>
    <t>BlueHalo | OSG Billing Services | Altamira | Nuvei | Beta+ | Recteq | Vertex | Zips | Applied Technical Services | Gen3 Marketing | CoolSys | Dr. Squatch | | | Lilly Lashes | Quantic Electronics | UBEO | Aspect Software | API Technologies | Altamira</t>
  </si>
  <si>
    <t>BlueHalo | Schlesinger | Schlesinger | Recteq | Vertex | Zips | Global | Applied Technical Services | Gen3 Marketing | CoolSys | Dr. Squatch | | | Lilly Lashes | Quantic Electronics | UBEO | Aspect Software | UniTek | UniTek | Schlesinger</t>
  </si>
  <si>
    <t>By Light | By Light | By Light | By Light | By Light | Recteq | Vertex | Gen3 Marketing | | Dr. Squatch | Good2Grow | MeritDirect | OpenRoad Lending | Pragmatic Institute | Quantic Electronics | Questex | Solutionreach | UBEO | Convergint |</t>
  </si>
  <si>
    <t>Centauri Health | Connatix | Five Star | Painters Supply and Equipment | Sparq | Seaway Plastics | Centauri Health | Centauri Health | Watchtower Buyer | Carisk Partners | Epiq | Centauri Health | Watchtower Buyer | Watchtower Buyer | APHIX | APHIX | Carisk Partners | Carisk Partners | Connatix | Epiq</t>
  </si>
  <si>
    <t>Dr. Squatch | Dr. Squatch | Dr. Scholl's | Dr. Squatch | Recteq | Vertex | Zips | Gen3 Marketing | CoolSys | | | Lilly Lashes | UBEO | Applied Technical Services | Quantic Electronics | CHA Consulting | Confluent Health | Connatix | Painters Supply and Equipment | Dr. Scholl's</t>
  </si>
  <si>
    <t>Guild Garage Group | | | | Infinity Home Services | | Hanley Wood | Sparq | Manna Pro | Marketplace Events | MES | OSG Billing Services | Sales Benchmark Index (SBI) | | Prelude | Hancock | Guild Garage Group | Guild Garage Group | Guild Garage Group | PCS Retirement</t>
  </si>
  <si>
    <t>Infinity Home Services | Infinity Home Services | Hanley Wood | MES | OSG Billing Services | | | | Crane 1 | Infinity Home Services | Infinity Home Services | Any Hour Services | Any Hour Services | Applied Technical Services | Compex Legal | IDC Infusion Services | Infinity Home Services | Crane 1 | Crane 1 | Applied Technical Services</t>
  </si>
  <si>
    <t>Lilly Lashes | Lilly Lashes | APT Healthcare | APT Healthcare | Recteq | Vertex | Zips | Applied Technical Services | Gen3 Marketing | CoolSys | Dr. Squatch | | | Quantic Electronics | UBEO | Any Hour Services | CHA Consulting | Lilly Lashes | APT Healthcare | APT Healthcare</t>
  </si>
  <si>
    <t>Lynx Technologies | Prelude | Sigma Defense | Lynx Technologies | PAR Excellence | Recteq | Vertex | Zips | Lynx Technologies | Applied Technical Services | Gen3 Marketing | CoolSys | Dr. Squatch | | | Lilly Lashes | Quantic Electronics | UBEO | Any Hour Services | CHA Consulting</t>
  </si>
  <si>
    <t>MeritDirect | Prelude | Sigma Defense | Apex Service Partners | Nsi Industries | | | Recteq | Vertex | Zips | Applied Technical Services | Gen3 Marketing | CoolSys | Dr. Squatch | | | Lilly Lashes | MeritDirect | MeritDirect | MeritDirect</t>
  </si>
  <si>
    <t>MeritDirect | MeritDirect | MeritDirect | | MeritDirect | Recteq | Vertex | Zips | Applied Technical Services | Gen3 Marketing | CoolSys | Dr. Squatch | | | Lilly Lashes | Quantic Electronics | UBEO | Smartronix / Trident | Any Hour Services | CHA Consulting</t>
  </si>
  <si>
    <t>OSG Billing Services | OSG Billing Services | OSG Billing Services | Veritext | Dominion Voting Systems | U.S. Well | RTIC | Epiq | 360DG | Guild Garage Group | Northwinds | Northwinds | Seaway Plastics | Veritext | Veritext | Smartronix / Trident | Magnolia | Magnolia | ImagineAcquisitionCo | ImagineAcquisitionCo</t>
  </si>
  <si>
    <t>Pragmatic Institute | Pragmatic Institute | Pragmatic Institute | Pragmatic Institute | MeritDirect | Symplr | UniTek | Symplr | RTIC | Apex Service Partners | Nsi Industries | Apex Service Partners |</t>
  </si>
  <si>
    <t>C&amp;K Paving Contractors | C&amp;K Paving Contractors | C&amp;K Paving Contractors | Recteq | Vertex | Zips | Gen3 Marketing | CoolSys | Dr. Squatch | | | Lilly Lashes | UBEO | Applied Technical Services | Quantic Electronics | CHA Consulting | Confluent Health | Connatix | Dr. Squatch | Painters Supply and Equipment</t>
  </si>
  <si>
    <t>Centauri Health | Centauri Health | Connatix | Painters Supply and Equipment | Sparq | First Star | Recteq | Vertex | Zips | Gen3 Marketing | CoolSys | Dr. Squatch | | | Lilly Lashes | UBEO | Applied Technical Services | Quantic Electronics | Centauri Health | Centauri Health</t>
  </si>
  <si>
    <t>Commercial Fire Protection | Commercial Fire Protection | Prelude | Sigma Defense | | Commercial Fire Protection | CHA Consulting | SpendMend | Watterson | 4Wall Entertainment | | Country Fresh | | Jones &amp; Frank | Commercial Fire Protection | Recteq | Vertex | Zips | Applied Technical Services | Gen3 Marketing</t>
  </si>
  <si>
    <t>Dr. Scholl's | Prelude | Sigma Defense | Apex Service Partners | API Technologies | | CHA Consulting | SpendMend | Watterson | 4Wall Entertainment | | Recteq | Vertex | Zips | Country Fresh | | Applied Technical Services | Dr. Scholl's | Wheel Pros | Paris Presents</t>
  </si>
  <si>
    <t>Fairbanks Morse Defense | | CHA Consulting | SpendMend | Watterson | 4Wall Entertainment | | Recteq | Vertex | Zips | Country Fresh | | Applied Technical Services | Gen3 Marketing | CoolSys | Dr. Squatch | | Lilly Lashes | Quantic Electronics | UBEO</t>
  </si>
  <si>
    <t>MCR | Paradigm Oral Surgery | Solaris Health | Solaris Health | Solaris Health | | Paradigm Oral Surgery | SightMD | SightMD | | Sigma Defense | Hancock | Sigma Defense | Signature Systems Group | Hancock | MCR | New Gulf Resources | Paradigm Oral Surgery | Research Now/SSI | Research Now/SSI</t>
  </si>
  <si>
    <t>PlayPower | Recteq | Vertex | Zips | Gen3 Marketing | CoolSys | Dr. Squatch | | | Lilly Lashes | UBEO | Applied Technical Services | Quantic Electronics | CHA Consulting | Confluent Health | Connatix | Dr. Squatch | Painters Supply and Equipment | Sparq | Hanley Wood</t>
  </si>
  <si>
    <t>| | | Infinity Home Services | Vertex | | Hanley Wood | The Original Cakerie | The Original Cakerie | The Original Cakerie | The Creative Group | Bluebird | Vertex | Infosoft | Vertex | Bluebird | Infosoft | Vertex | BlueHalo | Edelman</t>
  </si>
  <si>
    <t>| | | Infinity Home Services | | Hanley Wood | Sparq | Manna Pro | Marketplace Events | MES | OSG Billing Services | Sales Benchmark Index (SBI) | | Prelude | Hancock | AFC Acquisitions | AFC Acquisitions | Boss Industries | AFC Acquisitions | Boss Industries</t>
  </si>
  <si>
    <t>48Forty | Recteq | Vertex | 48Forty | Mars Agency | nThrive | nThrive | Infolinks | 48Forty | Sales Benchmark Index (SBI) | Applied Technical Services | ImagineAcquisitionCo | OpenRoad Lending | Seaway Plastics | Signature Systems Group | Hancock | Symplr | Symplr | | AKW Holdings</t>
  </si>
  <si>
    <t>4Wall Entertainment | 4Wall Entertainment | Marketplace Events | Marketplace Events | | CHA Consulting | SpendMend | Watterson | | Recteq | Vertex | Zips | Country Fresh | | Applied Technical Services | Gen3 Marketing | CoolSys | Dr. Squatch | | 4Wall Entertainment</t>
  </si>
  <si>
    <t>Big Top Manufacturing | Big Top Manufacturing | | Big Top Manufacturing | CHA Consulting | SpendMend | Watterson | 4Wall Entertainment | | Recteq | Country Fresh | Vertex | Zips | Gen3 Marketing | CoolSys | Dr. Squatch | | Lilly Lashes | UBEO |</t>
  </si>
  <si>
    <t>BlueHalo | Schlesinger | | CHA Consulting | SpendMend | Watterson | 4Wall Entertainment | | Country Fresh | | Jones &amp; Frank | Global | Schlesinger | Recteq | Vertex | Zips | Applied Technical Services | Gen3 Marketing | CoolSys | Dr. Squatch</t>
  </si>
  <si>
    <t>Integrated Data Services | Connatix | Painters Supply and Equipment | Sparq | Centauri Health | First Star | Sparq | Integrated Data Services | Big Top Manufacturing | Recteq | Vertex | Zips | Applied Technical Services | Gen3 Marketing | CoolSys | Dr. Squatch | | | nThrive | nThrive</t>
  </si>
  <si>
    <t>KNS | KNS | Recteq | Vertex | Zips | Applied Technical Services | Gen3 Marketing | CoolSys | Dr. Squatch | | | Lilly Lashes | Quantic Electronics | UBEO | Any Hour Services | CHA Consulting | Confluent Health | Connatix | Dr. Squatch | KNS</t>
  </si>
  <si>
    <t>Radius Aerospace | Radius Aerospace | Recteq | Vertex | Zips | Gen3 Marketing | CoolSys | Dr. Squatch | | | Lilly Lashes | UBEO | Applied Technical Services | Quantic Electronics | CHA Consulting | Confluent Health | Connatix | Dr. Squatch | Painters Supply and Equipment | Sparq</t>
  </si>
  <si>
    <t>Roofed Right America | Roofed Right America | Roofed Right America | Recteq | Vertex | Zips | Gen3 Marketing | CoolSys | Dr. Squatch | | | Lilly Lashes | UBEO | Applied Technical Services | Quantic Electronics | CHA Consulting | Confluent Health | Connatix | Dr. Squatch | Roofed Right America</t>
  </si>
  <si>
    <t>| | | Infinity Home Services | TVC | | Hanley Wood | Sparq | Manna Pro | Marketplace Events | MES | OSG Billing Services | Sales Benchmark Index (SBI) | | Prelude | Hancock | US Fertility | TVC | US Fertility | Recteq</t>
  </si>
  <si>
    <t>TVC</t>
  </si>
  <si>
    <t>TVC | | Recteq | Vertex | Zips | Gen3 Marketing | CoolSys | Dr. Squatch | | | Lilly Lashes | UBEO | Applied Technical Services | Quantic Electronics | CHA Consulting | Confluent Health | Connatix | Dr. Squatch | Painters Supply and Equipment | Sparq</t>
  </si>
  <si>
    <t>Aeronix | Aeronix | | CHA Consulting | SpendMend | Watterson | 4Wall Entertainment | | Recteq | Country Fresh | Vertex | Zips | Gen3 Marketing | CoolSys | Dr. Squatch | | Lilly Lashes | UBEO | | Applied Technical Services</t>
  </si>
  <si>
    <t>Dr. Scholl's | Apex Service Partners | | CHA Consulting | SpendMend | Watterson | 4Wall Entertainment | | Country Fresh | | Jones &amp; Frank | API Technologies | Dr. Scholl's | Recteq | Vertex | Zips | Wheel Pros | Applied Technical Services | Gen3 Marketing | Paris Presents</t>
  </si>
  <si>
    <t>| | | Infinity Home Services | | Sabel Systems | Signature Systems Group | Nevada Behavioral Health Systems | Sabel Systems | Signature Systems Group | Signature Systems Group | Signature Systems Group | Sabel Systems | MCR | Signature Systems Group | RealmOne | MCR | Nevada Behavioral Health Systems | Sigma Defense | Sigma Defense</t>
  </si>
  <si>
    <t>North American Rail Solutions | North American Rail Solutions | American Insulated Glass | North American Rail Solutions | Marketplace Events | SpendMend | Recteq | Vertex | Zips | American Insulated Glass | Premiere Global Services (PGi) | Applied Technical Services | Gen3 Marketing | CoolSys | Dr. Squatch | | | Lilly Lashes | Quantic Electronics | UBEO</t>
  </si>
  <si>
    <t>OSG Billing Services | Recteq | Vertex | Zips | Applied Technical Services | Gen3 Marketing | CoolSys | Dr. Squatch | | | Lilly Lashes | Quantic Electronics | UBEO | Smartronix / Trident | Any Hour Services | CHA Consulting | Confluent Health | Connatix | Dr. Squatch | Painters Supply and Equipment</t>
  </si>
  <si>
    <t>STG Logistics | STG Logistics | STG Logistics | | BlackHawk Industrial | Marketplace Events | Signature Systems Group | Marketplace Events | Plimpton &amp; Hills | Plimpton &amp; Hills | Recteq | Vertex | Zips | BlackHawk Industrial | BlackHawk Industrial | WhiteHawk Industrial | First Medical Associates | Country Fresh | Aspect Software | Aspect Software</t>
  </si>
  <si>
    <t>Zips | Zips | Zips | Zips | Zips | Zips | Zips | Zips | Recteq | Vertex | Applied Technical Services | Gen3 Marketing | CoolSys | Dr. Squatch | | | Lilly Lashes | Quantic Electronics | UBEO | Magnolia</t>
  </si>
  <si>
    <t>4Wall Entertainment | 4Wall Entertainment | Marketplace Events | Marketplace Events | Signature Systems Group | | | Ascensus | CHA Consulting | SpendMend | Watterson | | Recteq | Vertex | Zips | Country Fresh | First Medical Associates | 4Wall Entertainment | McAfee | Country Fresh</t>
  </si>
  <si>
    <t>A1 Garage | Infolinks | Sales Benchmark Index (SBI) | OpenRoad Lending | Seaway Plastics | Applied Technical Services | Recteq | Vertex | ImagineAcquisitionCo | Exigo | Berlin Packaging | Pink Lily | Symplr | Symplr | Meadowlark | Smartronix / Trident | A1 Garage | A1 Garage | A1 Garage | AKW Holdings</t>
  </si>
  <si>
    <t>Archer Lewis | Archer Lewis | Archer Lewis | Archer Lewis | Archer Lewis | First Medical Associates | Recteq | Vertex | Gen3 Marketing | | McAfee | Marketplace Events | Marketplace Events | Signature Systems Group | First Medical Associates | First Medical Associates | First Medical Associates | Ascensus | TEAM Services Group | Country Fresh</t>
  </si>
  <si>
    <t>Beta+ | Altamira | Nuvei | Recteq | Vertex | Zips | BlueHalo | Applied Technical Services | Gen3 Marketing | CoolSys | Dr. Squatch | | | Lilly Lashes | Quantic Electronics | UBEO | Any Hour Services | CHA Consulting | API Technologies | Altamira</t>
  </si>
  <si>
    <t>Sparq | Prelude | Sigma Defense | Crane 1 | Crane 1 | | CHA Consulting | SpendMend | Watterson | 4Wall Entertainment | | Country Fresh | | Recteq | Vertex | Zips | Crane 1 | | | Crane 1</t>
  </si>
  <si>
    <t>BiggerPockets | BiggerPockets | ImagineAcquisitionCo | Pink Lily | BiggerPockets | Mission Microwave | First Medical Associates | McAfee | Marketplace Events | Marketplace Events | Signature Systems Group | ImagineAcquisitionCo | Mission Microwave | Pink Lily | Pink Lily | First Medical Associates | First Medical Associates | First Medical Associates | Ascensus | TEAM Services Group</t>
  </si>
  <si>
    <t>Carnegie Dartlet | | | | Infinity Home Services | Marketplace Events | | Hanley Wood | Sparq | Manna Pro | MES | OSG Billing Services | Sales Benchmark Index (SBI) | | Prelude | Carnegie Dartlet | Carnegie Dartlet | Carnegie Dartlet | Marketplace Events | Signature Systems Group</t>
  </si>
  <si>
    <t>Comprehensive Rehab Consultants | Comprehensive Rehab Consultants | Comprehensive Rehab Consultants | Confluent Health | Rancho Medical | | Confluent Health | Confluent Health | Ro Health | Ro Health | Nevada Behavioral Health Systems | Douglas | Rancho Medical | Ro Health | EvAl | EvAl | EvAl | Cano Health | Rancho Medical | Recteq</t>
  </si>
  <si>
    <t>Engine &amp; Transmission Exchange | Infosoft | Lilly Lashes | Loving Tan | Schlesinger | Infolinks | Sales Benchmark Index (SBI) | TVC | OpenRoad Lending | Seaway Plastics | Applied Technical Services | Recteq | Vertex | ImagineAcquisitionCo | Symplr | Symplr | Hancock | nThrive | Engine &amp; Transmission Exchange | Schlesinger</t>
  </si>
  <si>
    <t>Seaway Plastics</t>
  </si>
  <si>
    <t>Seaway Plastics | ImagineAcquisitionCo | Infolinks | Sales Benchmark Index (SBI) | OpenRoad Lending | ImagineAcquisitionCo | Applied Technical Services | Recteq | Vertex | Symplr | Symplr | Hancock | nThrive | nThrive | Epiq | 360DG | Guild Garage Group | Epiq | Epiq | Epiq</t>
  </si>
  <si>
    <t>Marketplace Events | Signature Systems Group | Marketplace Events | Evans Network | Evans Network | | Recteq | Vertex | Zips | Vision Integrated | StrataTech | First Medical Associates | First Medical Associates | McAfee | | Electro Rent | Electro Rent | eCommission | First Medical Associates | First Medical Associates</t>
  </si>
  <si>
    <t>Federal Advisory Partners | Federal Advisory Partners | Marketplace Events | Signature Systems Group | Marketplace Events | | Federal Advisory Partners | | Recteq | Vertex | Zips | First Medical Associates | First Medical Associates | Applied Technical Services | Gen3 Marketing | CoolSys | Dr. Squatch | McAfee | First Medical Associates | First Medical Associates</t>
  </si>
  <si>
    <t>Infinity Home Services | Infinity Home Services | Infinity Home Services | Infinity Home Services | Infinity Home Services | Hanley Wood | Applied Technical Services | Applied Technical Services | EvAl | Any Hour Services | Any Hour Services | Applied Technical Services | Crane 1 | Compex Legal | IDC Infusion Services | MES | Paradigm Oral Surgery | OSG Billing Services | EvAl | EvAl</t>
  </si>
  <si>
    <t>Jones &amp; Frank | | Jones &amp; Frank | CHA Consulting | SpendMend | Jones &amp; Frank | Watterson | 4Wall Entertainment | | Jones &amp; Frank | Country Fresh | | Recteq | Vertex | Zips | Applied Technical Services | Gen3 Marketing | CoolSys | Dr. Squatch |</t>
  </si>
  <si>
    <t>4Wall Entertainment | 4Wall Entertainment | 4Wall Entertainment | ECL Entertainment | | Peninsula Pacific Entertainment | Peninsula Pacific Entertainment | Mom And Pop | | ECL Entertainment</t>
  </si>
  <si>
    <t>Aeronix | Aeronix | Aeronix | Aeronix</t>
  </si>
  <si>
    <t>Any Hour Services | Any Hour Services | Any Hour Services | Any Hour Services | Any Hour Services | Applied Technical Services | IDC Infusion Services | OSG Billing Services | OSG Billing Services | TEAM Services Group | TEAM Services Group | Premiere Global Services (PGi) | Infinity Home Services | Infinity Home Services | United Land Services | Crane 1 | Compex Legal | Compex Legal | MES | Northwinds</t>
  </si>
  <si>
    <t>| Cano Health | Confluent Health | Confluent Health | Ro Health | Ro Health | Ro Health | Comprehensive Rehab Consultants | Comprehensive Rehab Consultants | Nevada Behavioral Health Systems | Comprehensive Rehab Consultants | Douglas | Rancho Medical | Confluent Health | Rancho Medical | EvAl | Rancho Medical | EvAl | EvAl | Centauri Health</t>
  </si>
  <si>
    <t>Dr. Scholl's | Dr. Scholl's | Dr. Squatch | Dr. Squatch | Dr. Squatch</t>
  </si>
  <si>
    <t>Infinity Home Services | Infinity Home Services | Infinity Home Services | Infinity Home Services | Infinity Home Services | EvAl | EvAl | EvAl | Any Hour Services | Applied Technical Services | IDC Infusion Services | OSG Billing Services | OSG Billing Services | TEAM Services Group | TEAM Services Group | Premiere Global Services (PGi) | United Land Services | Crane 1 | Compex Legal | Compex Legal</t>
  </si>
  <si>
    <t>KNS | KNS | KNS</t>
  </si>
  <si>
    <t>Recteq | Recteq | Recteq</t>
  </si>
  <si>
    <t>Watterson | | Intellectual Technology | | Momentum | SpendMend | Country Fresh | Dr. Scholl's | Insight Global | 4Wall Entertainment | Mars Agency | RTIC | Vertex | Gen3 Marketing | | Good2Grow | MeritDirect | Watterson | Watterson | Watterson</t>
  </si>
  <si>
    <t>Watchtower Buyer | Watchtower | Connatix | Painters Supply and Equipment | Centauri Health | Seaway Plastics | Watchtower Buyer | Watchtower | Watchtower Buyer | Watchtower | Five Star | Sparq | Watchtower Holdings | Vertex | Gen3 Marketing | | Good2Grow | Connatix | Painters Supply and Equipment | Centauri Health</t>
  </si>
  <si>
    <t>UniVista | Infolinks | Sales Benchmark Index (SBI) | OpenRoad Lending | Seaway Plastics | Applied Technical Services | Recteq | Vertex | ImagineAcquisitionCo | Symplr | Symplr | Hancock | nThrive | nThrive | Berlin Packaging | Exigo | Pink Lily | A1 Garage | Meadowlark | AKW Holdings</t>
  </si>
  <si>
    <t>Tranzact | Tranzact | Connatix | Painters Supply and Equipment | Centauri Health | First Star | Sparq | Vertex | Zips | Gen3 Marketing | CoolSys | | UBEO | Quantic Electronics | CHA Consulting | Confluent Health | Dr. Squatch | Hanley Wood | Tranzact | Tranzact</t>
  </si>
  <si>
    <t>TransGo | Recteq | Vertex | nThrive | nThrive | Infolinks | Sales Benchmark Index (SBI) | Applied Technical Services | ImagineAcquisitionCo | OpenRoad Lending | Seaway Plastics | Hancock | Symplr | Symplr | Ad.net | MeritDirect | Ledge Lounger | Cascade | Watterson | AKW Holdings</t>
  </si>
  <si>
    <t>STG Logistics | STG Logistics | STG Logistics | Ascensus | BlackHawk Industrial | | Plimpton &amp; Hills | Plimpton &amp; Hills | BlackHawk Industrial | BlackHawk Industrial | WhiteHawk Industrial | Recteq | Vertex | Zips | Applied Technical Services | Aspect Software | Aspect Software | Country Fresh | BlackHawk Industrial | BlackHawk Industrial</t>
  </si>
  <si>
    <t>| Intellectual Technology | | Momentum | SpendMend | Country Fresh | Dr. Scholl's | Watterson | Insight Global | 4Wall Entertainment | Mars Agency | RTIC | Vertex | Gen3 Marketing | | Good2Grow | MeritDirect | Questex | Recteq | Sparq</t>
  </si>
  <si>
    <t>Schlesinger | Infosoft | Lilly Lashes | TVC | Engine &amp; Transmission Exchange | Loving Tan | Infolinks | Sales Benchmark Index (SBI) | OpenRoad Lending | Seaway Plastics | Applied Technical Services | Recteq | Vertex | ImagineAcquisitionCo | Symplr | Symplr | Hancock | nThrive | Schlesinger | Engine &amp; Transmission Exchange</t>
  </si>
  <si>
    <t>ProSearch | KNS | LifePort | Vertex | Gen3 Marketing | | Good2Grow | MeritDirect | Questex | Recteq | Solutionreach | UBEO | Peninsula Pacific Entertainment | OpenRoad Lending | Peninsula Pacific Entertainment | ProSearch | ProSearch | | ProSearch |</t>
  </si>
  <si>
    <t>Aechelon | Infolinks | Sales Benchmark Index (SBI) | OpenRoad Lending | Seaway Plastics | Applied Technical Services | Recteq | Vertex | ImagineAcquisitionCo | Aechelon | Aechelon | Symplr | Symplr | Hancock | nThrive | nThrive | Athene | Sigma Defense | Federal Advisory Partners | GCOM</t>
  </si>
  <si>
    <t>BiggerPockets | Infolinks | BiggerPockets | BiggerPockets | Any Hour Services | Sales Benchmark Index (SBI) | Applied Technical Services | ImagineAcquisitionCo | OpenRoad Lending | Seaway Plastics | Recteq | Vertex | Hancock | Symplr | Symplr | nThrive | nThrive | Crash Champions | IDC Infusion Services | OCS / NES</t>
  </si>
  <si>
    <t>OpenRoad Lending</t>
  </si>
  <si>
    <t>OpenRoad Lending | OpenRoad Lending | Integrity Marketing | Vertex | ImagineAcquisitionCo | Signature Systems Group | Smartronix / Trident | nThrive | Berlin Packaging | Exigo | Infolinks | Pink Lily | Ad.net | MeritDirect | C5MI | C5MI | Carnegie Dartlet | UniTek | UniTek | Hanley Wood</t>
  </si>
  <si>
    <t>Connatix | Recteq | Vertex | Infolinks | Sales Benchmark Index (SBI) | OpenRoad Lending | Seaway Plastics | RTIC | Applied Technical Services | ImagineAcquisitionCo | Vertex | Symplr | Symplr | Connatix | Hancock | Connatix | nThrive | nThrive | Connatix | Berlin Packaging</t>
  </si>
  <si>
    <t>Connatix | Vertex | OpenRoad Lending | Integrity Marketing | ImagineAcquisitionCo | RTIC | RTIC | RTIC | RTIC | Recteq | Vertex | Connatix | Connatix | Connatix | nThrive | Berlin Packaging | Exigo | Infolinks | UniTek | UniTek</t>
  </si>
  <si>
    <t>Rancho Medical | Recteq | Vertex | Infolinks | Sales Benchmark Index (SBI) | OpenRoad Lending | Seaway Plastics | RTIC | Applied Technical Services | ImagineAcquisitionCo | Vertex | Symplr | Symplr | Hancock | nThrive | nThrive | Berlin Packaging | Exigo | Pink Lily | Carisk Partners</t>
  </si>
  <si>
    <t>Tranzact | Infolinks | Recteq | Vertex | Sales Benchmark Index (SBI) | OpenRoad Lending | Seaway Plastics | Applied Technical Services | ImagineAcquisitionCo | nThrive | nThrive | MeritDirect | Ad.net | Symplr | Symplr | Ledge Lounger | Tranzact | Tranzact | Tranzact | AKW Holdings</t>
  </si>
  <si>
    <t>Tyto Athene | Infolinks | Recteq | Vertex | Sales Benchmark Index (SBI) | OpenRoad Lending | Seaway Plastics | Applied Technical Services | ImagineAcquisitionCo | nThrive | nThrive | MeritDirect | Ad.net | Symplr | Symplr | Ledge Lounger | Cascade | Watterson | Tyto Athene | AKW Holdings</t>
  </si>
  <si>
    <t>Tyto Athene | Vertex | OpenRoad Lending | Integrity Marketing | ImagineAcquisitionCo | MeritDirect | nThrive | Ad.net | Cascade | Ledge Lounger | Mars Agency | RTIC | RTIC | RTIC | RTIC | Tyto Athene | UniTek | AKW Holdings | UniTek |</t>
  </si>
  <si>
    <t>Vertex | Vertex | Recteq | RTIC | Infolinks | Sales Benchmark Index (SBI) | OpenRoad Lending | Seaway Plastics | Applied Technical Services | ImagineAcquisitionCo | nThrive | nThrive | MeritDirect | Infogroup | NORA | RTIC | RTIC | Ad.net | Symplr | AKW Holdings</t>
  </si>
  <si>
    <t>Vertex | Vertex | RTIC | RTIC | RTIC | RTIC | Recteq | OpenRoad Lending | Integrity Marketing | ImagineAcquisitionCo | MeritDirect | nThrive | Ad.net | Infogroup | NORA | RTIC | Cascade | UniTek | AKW Holdings | UniTek</t>
  </si>
  <si>
    <t>Watchtower Holdings | Infolinks | Recteq | Vertex | Sales Benchmark Index (SBI) | OpenRoad Lending | Seaway Plastics | Applied Technical Services | ImagineAcquisitionCo | nThrive | nThrive | MeritDirect | Watchtower | Watchtower | Ad.net | Watchtower | Watchtower Buyer | Watchtower Buyer | Watchtower Buyer | AKW Holdings</t>
  </si>
  <si>
    <t>Watterson | Infolinks | Recteq | Vertex | Sales Benchmark Index (SBI) | OpenRoad Lending | Seaway Plastics | Applied Technical Services | ImagineAcquisitionCo | nThrive | nThrive | MeritDirect | Ad.net | Symplr | Symplr | Ledge Lounger | Watterson | Watterson | Watterson | AKW Holdings</t>
  </si>
  <si>
    <t>Total Cases: 96
Family Top-1 Accuracy: 86.46%
Family Top-5 Accuracy: 92.71%</t>
  </si>
  <si>
    <t>Category</t>
  </si>
  <si>
    <t>Total Cases</t>
  </si>
  <si>
    <t>Correct</t>
  </si>
  <si>
    <t>Accuracy</t>
  </si>
  <si>
    <t>Total</t>
  </si>
  <si>
    <t>360DG | Marketplace Events | APRA | Watchtower Buyer | APHIX | Carisk Partners | Connatix | Epiq | Painters Supply and Equipment | HALO | Centauri Health | Molded Devices | McAfee | Penta | Podean | Seaway Plastics | Velocity Rail Solutions | Integrated Data Services | First Star | Pegasus Steel</t>
  </si>
  <si>
    <t>48Forty | Smartronix / Trident | Douglas | Engine &amp; Transmission Exchange | Exigo | Altamira | Loving Tan | | Real Life Residential | Convergint | Mars Agency | nThrive | PhaseWell Research | Signature Systems Group | United Land Services | Greatwide | EvAl</t>
  </si>
  <si>
    <t>Ad.net | Arcfield | C5MI | Duggal Visual Solutions | GCOM | MOREgroup | LaMi | NORA | OpenRoad Lending | Wilson Language Training | Security 101 | | StrataTech | 48Forty | Integrity Marketing | Mars Agency | Mission Microwave | Magnolia | Circass | Crane 1</t>
  </si>
  <si>
    <t>Aechelon | Intellectual Technology | Sabel Systems</t>
  </si>
  <si>
    <t>BBB Industries | STG Logistics | Adweek | Aspect Software | Health-E Commerce | KNS | ProSearch | Vision Integrated | Lynx Technologies | LifePort</t>
  </si>
  <si>
    <t>BlueHalo | API Technologies | Altamira | Nuvei | Beta+ | Lynx Technologies</t>
  </si>
  <si>
    <t>BlueHalo | Global | Schlesinger | Insight Global | UniTek | Premiere Global Services (PGi)</t>
  </si>
  <si>
    <t>Centauri Health | Watchtower Buyer | APHIX | Carisk Partners | Connatix | Epiq | 360DG | Painters Supply and Equipment | HALO | Molded Devices | McAfee | Penta | Podean | Seaway Plastics | Velocity Rail Solutions | Integrated Data Services | First Star | Pegasus Steel | Tranzact | Five Star</t>
  </si>
  <si>
    <t>Dr. Squatch | Dr. Scholl's</t>
  </si>
  <si>
    <t>Guild Garage Group | PCS Retirement | Total Pool Care Network</t>
  </si>
  <si>
    <t>Infinity Home Services | Applied Technical Services | Any Hour Services | IDC Infusion Services | OSG Billing Services | TEAM Services Group | EvAl | C5MI | Carnegie Dartlet | Hanley Wood | | Premiere Global Services (PGi) | United Land Services | Smartronix / Trident | Allied Universal | Boss Industries | ECL Entertainment | Centauri Health | Lucky Bucks | OpenRoad Lending</t>
  </si>
  <si>
    <t>Lilly Lashes | APT Healthcare</t>
  </si>
  <si>
    <t>Lynx Technologies | PAR Excellence | STG Logistics | Adweek | Aspect Software | Health-E Commerce | KNS | ProSearch | Vision Integrated | LifePort | BBB Industries</t>
  </si>
  <si>
    <t>OSG Billing Services | Epiq | 360DG | Guild Garage Group | Northwinds | Seaway Plastics | Veritext | Magnolia | ImagineAcquisitionCo</t>
  </si>
  <si>
    <t>Dr. Scholl's | API Technologies | Wheel Pros | Paris Presents | Apex Service Partners | American Insulated Glass</t>
  </si>
  <si>
    <t>MCR | Paradigm Oral Surgery | Solaris Health | | New Gulf Resources | SightMD | PhaseWell Research | Pinnacle Clinical Research | Research Now/SSI | CHA Consulting | Ankura</t>
  </si>
  <si>
    <t>APT Healthcare | Lilly Lashes</t>
  </si>
  <si>
    <t>Boss Industries | ECM Industries | AFC Acquisitions | DermaRite | BBB Industries | Nsi Industries</t>
  </si>
  <si>
    <t>Big Top Manufacturing |</t>
  </si>
  <si>
    <t>Integrated Data Services | Big Top Manufacturing | Watchtower Buyer | nThrive | APHIX | Carisk Partners | Connatix | Epiq | 360DG | Painters Supply and Equipment | HALO | Centauri Health | Molded Devices | McAfee | Penta | Podean | Seaway Plastics | Velocity Rail Solutions | First Star | Pegasus Steel</t>
  </si>
  <si>
    <t>KNS | STG Logistics | Adweek | Aspect Software | Health-E Commerce | ProSearch | Vision Integrated | Lynx Technologies | LifePort | BBB Industries</t>
  </si>
  <si>
    <t>Radius Aerospace | Cadence Aerospace | MAG Aerospace</t>
  </si>
  <si>
    <t>TVC | US Fertility</t>
  </si>
  <si>
    <t>f</t>
  </si>
  <si>
    <t>Sabel Systems</t>
  </si>
  <si>
    <t>Sabel Systems | Signature Systems Group | Nevada Behavioral Health Systems | | MCR | RealmOne | Sigma Defense | Dominion Voting Systems</t>
  </si>
  <si>
    <t>North American Rail Solutions | Velocity Rail Solutions | SpendMend | American Insulated Glass | Premiere Global Services (PGi) | sadsad | Omnia | Sabel Systems | K2 | EvAl | American Surgical | Stronghouse Solutions | Duggal Visual Solutions</t>
  </si>
  <si>
    <t>STG Logistics | Plimpton &amp; Hills | BlackHawk Industrial | WhiteHawk Industrial</t>
  </si>
  <si>
    <t>Zips | Magnolia</t>
  </si>
  <si>
    <t>A1 Garage | A2 Garge | | Guild Garage Group</t>
  </si>
  <si>
    <t>Archer Lewis, LLC</t>
  </si>
  <si>
    <t>Beta+ | API Technologies | Altamira | Nuvei | Lynx Technologies | BlueHalo</t>
  </si>
  <si>
    <t>Comprehensive Rehab Consultants | Confluent Health | Ro Health | Cano Health | Nevada Behavioral Health Systems | | Douglas | Rancho Medical | Centauri Health | Solaris Health | EvAl | Health-E Commerce</t>
  </si>
  <si>
    <t>Engine &amp; Transmission Exchange | Infosoft | Lilly Lashes | Loving Tan | Schlesinger | TVC</t>
  </si>
  <si>
    <t>Epiq | 360DG | Guild Garage Group | Northwinds | Seaway Plastics | Veritext | Magnolia | ImagineAcquisitionCo</t>
  </si>
  <si>
    <t>Evans Network | Connatix | Planview | Rancho Medical | Rosco | Nsi Industries | Targeted Pet Care | Watterson | Infogroup | Recteq | NORA | RTIC | Consilio | Carisk Partners | Five Star | First Star | Infinity Home Services | Vertex | BlackHawk Industrial | United Land Services</t>
  </si>
  <si>
    <t>Federal Advisory Partners | | First Medical Associates</t>
  </si>
  <si>
    <t>4Wall Entertainment | ECL Entertainment | Peninsula Pacific Entertainment | | Mom And Pop</t>
  </si>
  <si>
    <t>Any Hour Services | Applied Technical Services | IDC Infusion Services | OSG Billing Services | TEAM Services Group | Infinity Home Services | United Land Services | Premiere Global Services (PGi) | Crane 1 | Compex Legal | MES | Northwinds | Paradigm Oral Surgery | eCommission | Beacon Behavioral | By Light | UniTek | Integrated Data Services | U.S. Well</t>
  </si>
  <si>
    <t>Cano Health | | Confluent Health | Ro Health | Nevada Behavioral Health Systems | Comprehensive Rehab Consultants | Douglas | Rancho Medical | Centauri Health | Solaris Health | EvAl | Health-E Commerce</t>
  </si>
  <si>
    <t>Dr. Scholl's | Dr. Squatch</t>
  </si>
  <si>
    <t>Infinity Home Services | Any Hour Services | Applied Technical Services | IDC Infusion Services | OSG Billing Services | TEAM Services Group | United Land Services | Premiere Global Services (PGi) | EvAl | Crane 1 | Compex Legal | MES | Northwinds | Paradigm Oral Surgery | eCommission | Beacon Behavioral | By Light | UniTek | Integrated Data Services | U.S. Well</t>
  </si>
  <si>
    <t>Watterson | Recteq | Vertex | Gen3 Marketing | | Dr. Squatch | Good2Grow | MeritDirect | Pragmatic Institute | Questex | Solutionreach | UBEO | OpenRoad Lending | Quantic Electronics | API Technologies | Altamira | Apex Service Partners | Arcfield | Cartessa | Connatix</t>
  </si>
  <si>
    <t>Watchtower Buyer | Watchtower | Connatix | Five Star | First Star | Painters Supply and Equipment | Sparq | Centauri Health | Seaway Plastics | Watchtower Holdings | Carisk Partners | 360DG | HALO | Penta | APHIX | Epiq | Molded Devices | McAfee | Podean | Velocity Rail Solutions</t>
  </si>
  <si>
    <t>Tranzact | Connatix | Painters Supply and Equipment | Sparq | Centauri Health | First Star | Recteq | Vertex | Zips | Gen3 Marketing | CoolSys | Dr. Squatch | | Lilly Lashes | UBEO | Applied Technical Services | Quantic Electronics | CHA Consulting | Confluent Health | Hanley Wood</t>
  </si>
  <si>
    <t>TransGo | | Manna Pro | Douglas</t>
  </si>
  <si>
    <t>STG Logistics | BlackHawk Industrial | Plimpton &amp; Hills | WhiteHawk Industrial | Recteq | Vertex | Zips | Gen3 Marketing | CoolSys | Dr. Squatch | | Lilly Lashes | UBEO | Applied Technical Services | Quantic Electronics | CHA Consulting | Confluent Health | Connatix | Painters Supply and Equipment | Sparq</t>
  </si>
  <si>
    <t>Recteq | Sparq | Vertex | Gen3 Marketing | | Dr. Squatch | Good2Grow | MeritDirect | Pragmatic Institute | Questex | Solutionreach | UBEO | OpenRoad Lending | Quantic Electronics | API Technologies | Altamira | Apex Service Partners | Arcfield | Cartessa | Connatix</t>
  </si>
  <si>
    <t>Infosoft</t>
  </si>
  <si>
    <t>Infosoft | Lilly Lashes | TVC | Loving Tan | Schlesinger | Engine &amp; Transmission Exchange</t>
  </si>
  <si>
    <t>KNS | LifePort | Lynx Technologies | Peninsula Pacific Entertainment | ProSearch | Recteq | Vertex | Gen3 Marketing | Dr. Squatch | Good2Grow | MeritDirect | Pragmatic Institute | Questex | | STG Logistics | Adweek | Aspect Software | Health-E Commerce | Vision Integrated | BBB Industries</t>
  </si>
  <si>
    <t>Aechelon | Athene | Sigma Defense | Federal Advisory Partners | GCOM | QuantiTech | Sabel Systems | By Light</t>
  </si>
  <si>
    <t>C5MI | Carnegie Dartlet | Applied Technical Services | Boss Industries | Centauri Health | Lucky Bucks | OpenRoad Lending | Pink Lily | Infinity Home Services | Signature Systems Group | Hanley Wood | | Smartronix / Trident | Allied Universal | ECL Entertainment | PDS Tri-State</t>
  </si>
  <si>
    <t>Connatix | Rancho Medical | Nsi Industries | Watterson | Infogroup | Recteq | NORA | RTIC | Carisk Partners | Five Star | First Star | Infinity Home Services | Vertex | BlackHawk Industrial | Planview | Rosco | Evans Network | Targeted Pet Care | Consilio | United Land Services</t>
  </si>
  <si>
    <t>Rancho Medical | Connatix | Nsi Industries | Watterson | Infogroup | Recteq | NORA | RTIC | Carisk Partners | Five Star | First Star | Infinity Home Services | Vertex | BlackHawk Industrial | Planview | Rosco | Evans Network | Targeted Pet Care | Consilio | United Land Services</t>
  </si>
  <si>
    <t>Vertex | Connatix | Rancho Medical | Nsi Industries | Watterson | Infogroup | Recteq | NORA | RTIC | Carisk Partners | Five Star | First Star | Infinity Home Services | BlackHawk Industrial | Planview | Rosco | Evans Network | Targeted Pet Care | Consilio | United Land Services</t>
  </si>
  <si>
    <t>Watchtower Holdings | Watchtower | Watchtower Buyer</t>
  </si>
  <si>
    <t>48Forty | | Real Life Residential | Convergint | Mars Agency | nThrive | PhaseWell Research | United Land Services | Greatwide | Smartronix / Trident | Douglas | Engine &amp; Transmission Exchange | Exigo | Altamira | Loving Tan | Watchtower Holdings | Signature Systems Group | AKW Holdings | EvAl | American Surgical</t>
  </si>
  <si>
    <t>Aechelon | Sabel Systems | Intellectual Technology</t>
  </si>
  <si>
    <t>AFC Acquisitions | Digital Room | Hightower | | Bland Landscaping | Vision Integrated | eCommission | Confie Seguros | Kroll | Signature Systems Group | Country Fresh | Targeted Pet Care</t>
  </si>
  <si>
    <t>BBB Industries | Vision Integrated | | Evans Network | Electro Rent | StrataTech | eCommission | STG Logistics | Adweek | Aspect Software | Health-E Commerce | KNS | ProSearch | Lynx Technologies | LifePort</t>
  </si>
  <si>
    <t>Bland Landscaping | Digital Room | Hightower | | Vision Integrated | eCommission | Confie Seguros | Kroll | Signature Systems Group | Country Fresh | Targeted Pet Care</t>
  </si>
  <si>
    <t>Bluebird | Infosoft | BlueHalo | The Original Cakerie | Sabai Group | Wrench Group | Vertex | STV Group | Findex | Nevada Behavioral Health Systems | Edelman | TEAM Services Group | Ankura | EisnerAmper | Milani | Northwinds | Paradigm | OSG Billing Services | Pragmatic Institute | Research Now/SSI</t>
  </si>
  <si>
    <t>BlueHalo | Bluebird | Infosoft | Altamira | Nuvei | Beta+ | API Technologies | The Original Cakerie | Vertex | Edelman | Ankura | Findex | Nevada Behavioral Health Systems | STV Group | Sabai Group | Wrench Group | EisnerAmper | Milani | Northwinds | Paradigm</t>
  </si>
  <si>
    <t>BlueHalo | Global | Schlesinger | UniTek | Watchtower Holdings | AKW Holdings | Insight Global | American Surgical | Ascensus | Athletico | BioDerm | CHA Consulting | | Intellectual Technology | Kadmon/Three Rivers | Momentum | SpendMend | Total Pool Care Network | Teleguam | Teneo</t>
  </si>
  <si>
    <t>By Light | Any Hour Services | Applied Technical Services | Premiere Global Services (PGi) | Crane 1 | Compex Legal | IDC Infusion Services | MES | Northwinds | Paradigm Oral Surgery | OSG Billing Services | TEAM Services Group | eCommission | Beacon Behavioral | Infinity Home Services | UniTek | United Land Services | U.S. Well</t>
  </si>
  <si>
    <t>Infinity Home Services | Applied Technical Services | EvAl | C5MI | Carnegie Dartlet | Hanley Wood | | Smartronix / Trident | Allied Universal | Boss Industries | ECL Entertainment | Centauri Health | Lucky Bucks | OpenRoad Lending | Pink Lily | PDS Tri-State | Any Hour Services | Signature Systems Group | Premiere Global Services (PGi) | Crane 1</t>
  </si>
  <si>
    <t>OSG Billing Services | Veritext | Dominion Voting Systems | U.S. Well | RTIC | Epiq | 360DG | Guild Garage Group | Northwinds | Seaway Plastics | Smartronix / Trident | Magnolia | ImagineAcquisitionCo | | MeritDirect | Vision Integrated | New Gulf Resources | MCR | Watchtower Holdings | American Surgical</t>
  </si>
  <si>
    <t>Commercial Fire Protection | Watchtower Holdings | AKW Holdings | American Surgical | Ascensus | Athletico | BioDerm | CHA Consulting | | Intellectual Technology | Kadmon/Three Rivers | Momentum | SpendMend | Total Pool Care Network | Teleguam | Teneo | U.S. Well | Dr. Scholl's | eCommission | 48Forty</t>
  </si>
  <si>
    <t>Dr. Scholl's | API Technologies | Paris Presents | Wheel Pros | Apex Service Partners | American Insulated Glass | Watchtower Holdings | AKW Holdings | American Surgical | Ascensus | Athletico | BioDerm | CHA Consulting | | Intellectual Technology | Kadmon/Three Rivers | Momentum | SpendMend | Total Pool Care Network | Teleguam</t>
  </si>
  <si>
    <t>Watchtower Holdings | AKW Holdings | American Surgical | Ascensus | Athletico | BioDerm | CHA Consulting | | Intellectual Technology | Kadmon/Three Rivers | Momentum | SpendMend | Total Pool Care Network | Teleguam | Teneo | U.S. Well | Dr. Scholl's | eCommission | 48Forty | API Technologies</t>
  </si>
  <si>
    <t>MCR | Paradigm Oral Surgery | Solaris Health | | New Gulf Resources | SightMD | Ankura | Pinnacle Clinical Research | Research Now/SSI | PhaseWell Research | CHA Consulting</t>
  </si>
  <si>
    <t>The Original Cakerie</t>
  </si>
  <si>
    <t>The Original Cakerie | The Creative Group | Bluebird | Infosoft | Vertex | BlueHalo | Edelman | APT Healthcare | Lilly Lashes</t>
  </si>
  <si>
    <t>4Wall Entertainment | Watchtower Holdings | AKW Holdings | American Surgical | Ascensus | Athletico | BioDerm | CHA Consulting | | Intellectual Technology | Kadmon/Three Rivers | Momentum | SpendMend | Total Pool Care Network | Teleguam | Teneo | U.S. Well | Dr. Scholl's | eCommission | 48Forty</t>
  </si>
  <si>
    <t>Big Top Manufacturing | | Watchtower Holdings | AKW Holdings | American Surgical | Ascensus | Athletico | BioDerm | CHA Consulting | Intellectual Technology | Kadmon/Three Rivers | Momentum | SpendMend | Total Pool Care Network | Teleguam | Teneo | U.S. Well | Dr. Scholl's | eCommission | 48Forty</t>
  </si>
  <si>
    <t>Integrated Data Services | Big Top Manufacturing | nThrive | Watchtower Buyer | APHIX | Carisk Partners | Connatix | Epiq | 360DG | Painters Supply and Equipment | HALO | Centauri Health | Molded Devices | McAfee | Penta | Podean | Seaway Plastics | Velocity Rail Solutions | First Star | Pegasus Steel</t>
  </si>
  <si>
    <t>Aeronix | Watchtower Holdings | AKW Holdings | American Surgical | Ascensus | Athletico | BioDerm | CHA Consulting | | Intellectual Technology | Kadmon/Three Rivers | Momentum | SpendMend | Total Pool Care Network | Teleguam | Teneo | U.S. Well | Dr. Scholl's | eCommission | 48Forty</t>
  </si>
  <si>
    <t>| Sabel Systems | Signature Systems Group | Nevada Behavioral Health Systems | MCR | RealmOne | Sigma Defense | Hancock | Mom And Pop | Douglas | Research Now/SSI | Targeted Pet Care</t>
  </si>
  <si>
    <t>North American Rail Solutions | SpendMend | American Insulated Glass | Premiere Global Services (PGi) | sadsad | Omnia | EvAl | K2 | Sabel Systems | Velocity Rail Solutions</t>
  </si>
  <si>
    <t>Sabai Group | Wrench Group | STV Group | Findex | Nevada Behavioral Health Systems | TEAM Services Group | Ankura | EisnerAmper | Milani | Northwinds | Paradigm | OSG Billing Services | Pragmatic Institute | Research Now/SSI | Bluebird | Infosoft | Affinion | sadsad | Integrity Marketing | BlueHalo</t>
  </si>
  <si>
    <t>A1 Garage | A2 Garge | | Exigo | Berlin Packaging | Infolinks | Pink Lily | Meadowlark | Smartronix / Trident | Sales Benchmark Index (SBI) | Sparq | OpenRoad Lending | Ledge Lounger | Seaway Plastics | Any Hour Services | Applied Technical Services | Integrity Marketing | Recteq | SpendMend | AKW Holdings</t>
  </si>
  <si>
    <t>Beta+ | Altamira | Nuvei | API Technologies | BlueHalo | Lynx Technologies</t>
  </si>
  <si>
    <t>Sparq | Watchtower Holdings | AKW Holdings | American Surgical | Ascensus | Athletico | BioDerm | CHA Consulting | | Intellectual Technology | Kadmon/Three Rivers | Momentum | SpendMend | Total Pool Care Network | Teleguam | Teneo | U.S. Well | Dr. Scholl's | eCommission | 48Forty</t>
  </si>
  <si>
    <t>BiggerPockets | ImagineAcquisitionCo | Mission Microwave | Pink Lily</t>
  </si>
  <si>
    <t>Comprehensive Rehab Consultants | Confluent Health | Ro Health | | Nevada Behavioral Health Systems | Douglas | Rancho Medical | Cano Health | EvAl | Centauri Health | Solaris Health | Health-E Commerce</t>
  </si>
  <si>
    <t>Evans Network | | Vision Integrated | Electro Rent | StrataTech | eCommission | BBB Industries | Connatix | Planview | Rancho Medical | Rosco | Nsi Industries | Targeted Pet Care | Watterson | Infogroup | Recteq | NORA | RTIC | Consilio | Carisk Partners</t>
  </si>
  <si>
    <t>Jones &amp; Frank | Watchtower Holdings | AKW Holdings | American Surgical | Ascensus | Athletico | BioDerm | CHA Consulting | | Intellectual Technology | Kadmon/Three Rivers | Momentum | SpendMend | Total Pool Care Network | Teleguam | Teneo | U.S. Well | Dr. Scholl's | eCommission | 48Forty</t>
  </si>
  <si>
    <t>4Wall Entertainment | ECL Entertainment | | Peninsula Pacific Entertainment | Mom And Pop</t>
  </si>
  <si>
    <t>Any Hour Services | Applied Technical Services | IDC Infusion Services | OSG Billing Services | TEAM Services Group | Premiere Global Services (PGi) | Infinity Home Services | United Land Services | Crane 1 | Compex Legal | MES | Northwinds | Paradigm Oral Surgery | eCommission | Beacon Behavioral | By Light | UniTek | U.S. Well | Integrated Data Services</t>
  </si>
  <si>
    <t>| Cano Health | Confluent Health | Ro Health | Comprehensive Rehab Consultants | Nevada Behavioral Health Systems | Douglas | Rancho Medical | EvAl | Centauri Health | Solaris Health | Health-E Commerce</t>
  </si>
  <si>
    <t>Infinity Home Services | EvAl | Any Hour Services | Applied Technical Services | IDC Infusion Services | OSG Billing Services | TEAM Services Group | Premiere Global Services (PGi) | United Land Services | Crane 1 | Compex Legal | MES | Northwinds | Paradigm Oral Surgery | eCommission | Beacon Behavioral | By Light | UniTek | U.S. Well | Integrated Data Services</t>
  </si>
  <si>
    <t>Watterson | | Intellectual Technology | Momentum | SpendMend | Country Fresh | Dr. Scholl's | Insight Global | 4Wall Entertainment | Mars Agency | RTIC | Vertex | Gen3 Marketing | Good2Grow | MeritDirect | Questex | Recteq | Solutionreach | UBEO | OpenRoad Lending</t>
  </si>
  <si>
    <t>Watchtower Buyer | Watchtower | Connatix | Painters Supply and Equipment | Centauri Health | Seaway Plastics | Five Star | First Star | Sparq | Watchtower Holdings | Vertex | Gen3 Marketing | | Good2Grow | MeritDirect | Questex | Recteq | Solutionreach | UBEO | OpenRoad Lending</t>
  </si>
  <si>
    <t>UniVista | Infolinks | Sales Benchmark Index (SBI) | OpenRoad Lending | Seaway Plastics | Applied Technical Services | Recteq | Vertex | ImagineAcquisitionCo | Symplr | Hancock | nThrive | Berlin Packaging | Exigo | Pink Lily | A1 Garage | Meadowlark | Smartronix / Trident | Ad.net | AKW Holdings</t>
  </si>
  <si>
    <t>Tranzact | Connatix | Painters Supply and Equipment | Centauri Health | First Star | Sparq | Vertex | Zips | Gen3 Marketing | CoolSys | | UBEO | Quantic Electronics | CHA Consulting | Confluent Health | Dr. Squatch | Hanley Wood | ImagineAcquisitionCo | Pegasus Steel | Pragmatic Institute</t>
  </si>
  <si>
    <t>TransGo | Recteq | Vertex | nThrive | Infolinks | Sales Benchmark Index (SBI) | Applied Technical Services | ImagineAcquisitionCo | OpenRoad Lending | Seaway Plastics | Hancock | Symplr | Ad.net | MeritDirect | Ledge Lounger | Cascade | Watterson | RAM Energy | RTIC | AKW Holdings</t>
  </si>
  <si>
    <t>STG Logistics | Ascensus | BlackHawk Industrial | | Plimpton &amp; Hills | WhiteHawk Industrial | Recteq | Vertex | Zips | Applied Technical Services | Gen3 Marketing | CoolSys | Dr. Squatch | Lilly Lashes | Quantic Electronics | UBEO | Any Hour Services | CHA Consulting | Aspect Software | Country Fresh</t>
  </si>
  <si>
    <t>| Intellectual Technology | Momentum | SpendMend | Country Fresh | Dr. Scholl's | Watterson | Insight Global | 4Wall Entertainment | Mars Agency | RTIC | Vertex | Gen3 Marketing | Good2Grow | MeritDirect | Questex | Recteq | Solutionreach | UBEO | Sparq</t>
  </si>
  <si>
    <t>Infosoft | Lilly Lashes | TVC | Loving Tan | Infolinks | Sales Benchmark Index (SBI) | OpenRoad Lending | Seaway Plastics | Applied Technical Services | Recteq | Vertex | ImagineAcquisitionCo | Symplr | Hancock | nThrive | Schlesinger | Berlin Packaging | Exigo | Pink Lily | Engine &amp; Transmission Exchange</t>
  </si>
  <si>
    <t>KNS | LifePort | Vertex | Gen3 Marketing | Good2Grow | MeritDirect | Questex | Recteq | Solutionreach | UBEO | Peninsula Pacific Entertainment | OpenRoad Lending | Quantic Electronics | API Technologies | Altamira | Arcfield | Cartessa | Connatix | ProSearch |</t>
  </si>
  <si>
    <t>Infolinks | Sales Benchmark Index (SBI) | OpenRoad Lending | Seaway Plastics | Applied Technical Services | Recteq | Vertex | ImagineAcquisitionCo | Aechelon | Symplr | Hancock | nThrive | Athene | Sigma Defense | Federal Advisory Partners | GCOM | Sabel Systems | QuantiTech | By Light | Berlin Packaging</t>
  </si>
  <si>
    <t>BiggerPockets | Infolinks | Any Hour Services | Sales Benchmark Index (SBI) | Applied Technical Services | ImagineAcquisitionCo | OpenRoad Lending | Seaway Plastics | Recteq | Vertex | Hancock | Symplr | nThrive | Crash Champions | IDC Infusion Services | Berlin Packaging | Exigo | Pink Lily | A1 Garage | OCS / NES</t>
  </si>
  <si>
    <t>OpenRoad Lending | Integrity Marketing | Vertex | ImagineAcquisitionCo | Signature Systems Group | Smartronix / Trident | nThrive | Berlin Packaging | Exigo | Infolinks | Pink Lily | Ad.net | MeritDirect | C5MI | Carnegie Dartlet | Applied Technical Services | A1 Garage | UniTek | Hanley Wood |</t>
  </si>
  <si>
    <t>Connatix | Recteq | Vertex | Infolinks | Sales Benchmark Index (SBI) | OpenRoad Lending | Seaway Plastics | RTIC | Applied Technical Services | ImagineAcquisitionCo | Symplr | Hancock | nThrive | Berlin Packaging | Exigo | Pink Lily | Carisk Partners | Rancho Medical | Evans Network | Planview</t>
  </si>
  <si>
    <t>Connatix | Vertex | OpenRoad Lending | Integrity Marketing | ImagineAcquisitionCo | RTIC | Recteq | nThrive | Berlin Packaging | Exigo | Infolinks | Pink Lily | Ad.net | MeritDirect | Carisk Partners | Rancho Medical | UniTek | Evans Network | Planview | Rosco</t>
  </si>
  <si>
    <t>Rancho Medical | Recteq | Vertex | Infolinks | Sales Benchmark Index (SBI) | OpenRoad Lending | Seaway Plastics | RTIC | Applied Technical Services | ImagineAcquisitionCo | Symplr | Hancock | nThrive | Berlin Packaging | Exigo | Pink Lily | Carisk Partners | Connatix | Evans Network | Planview</t>
  </si>
  <si>
    <t>Tranzact | Infolinks | Recteq | Vertex | Sales Benchmark Index (SBI) | OpenRoad Lending | Seaway Plastics | Applied Technical Services | ImagineAcquisitionCo | nThrive | MeritDirect | Ad.net | Symplr | Ledge Lounger | Cascade | Watterson | RTIC | Hancock | SpendMend | AKW Holdings</t>
  </si>
  <si>
    <t>Tyto Athene | Infolinks | Recteq | Vertex | Sales Benchmark Index (SBI) | OpenRoad Lending | Seaway Plastics | Applied Technical Services | ImagineAcquisitionCo | nThrive | MeritDirect | Ad.net | Symplr | Ledge Lounger | Cascade | Watterson | RTIC | Hancock | SpendMend | AKW Holdings</t>
  </si>
  <si>
    <t>Vertex | OpenRoad Lending | Integrity Marketing | ImagineAcquisitionCo | MeritDirect | nThrive | Ad.net | Cascade | Ledge Lounger | Mars Agency | RTIC | Recteq | SpendMend | Tyto Athene | Berlin Packaging | Exigo | Infolinks | UniTek | AKW Holdings |</t>
  </si>
  <si>
    <t>Vertex | Recteq | RTIC | Infolinks | Sales Benchmark Index (SBI) | OpenRoad Lending | Seaway Plastics | Applied Technical Services | ImagineAcquisitionCo | nThrive | MeritDirect | Infogroup | NORA | Ad.net | Symplr | Ledge Lounger | Cascade | Watterson | Hancock | AKW Holdings</t>
  </si>
  <si>
    <t>Vertex | RTIC | Recteq | OpenRoad Lending | Integrity Marketing | ImagineAcquisitionCo | MeritDirect | nThrive | Ad.net | Infogroup | NORA | Cascade | Ledge Lounger | Five Star | First Star | Mars Agency | Infinity Home Services | UniTek | AKW Holdings |</t>
  </si>
  <si>
    <t>Watchtower Holdings | Infolinks | Recteq | Vertex | Sales Benchmark Index (SBI) | OpenRoad Lending | Seaway Plastics | Applied Technical Services | ImagineAcquisitionCo | nThrive | MeritDirect | Watchtower | Ad.net | Symplr | Ledge Lounger | Cascade | Watterson | RTIC | Watchtower Buyer | AKW Holdings</t>
  </si>
  <si>
    <t>Watterson | Infolinks | Recteq | Vertex | Sales Benchmark Index (SBI) | OpenRoad Lending | Seaway Plastics | Applied Technical Services | ImagineAcquisitionCo | nThrive | MeritDirect | Ad.net | Symplr | Ledge Lounger | Cascade | RTIC | Hancock | SpendMend | Mars Agency | AKW Holdings</t>
  </si>
  <si>
    <t>SOI name</t>
  </si>
  <si>
    <t>Company match</t>
  </si>
  <si>
    <t xml:space="preserve">Correct Family </t>
  </si>
  <si>
    <t>Correct Security</t>
  </si>
  <si>
    <t>expected_security</t>
  </si>
  <si>
    <t>predicted_security</t>
  </si>
  <si>
    <t>security_correct</t>
  </si>
  <si>
    <t>security_topk_correct</t>
  </si>
  <si>
    <t>security_rank</t>
  </si>
  <si>
    <t>family_score</t>
  </si>
  <si>
    <t>top_family_matches</t>
  </si>
  <si>
    <t>top_security_matches</t>
  </si>
  <si>
    <t>Events Buyer, LLC Term Loan</t>
  </si>
  <si>
    <t>Marketplace Events (CAD Term Loan)</t>
  </si>
  <si>
    <t>Marketplace Events | 360DG | Connatix | Painters Supply and Equipment | Sparq | Centauri Health | APRA | First Star | Recteq | Vertex | Zips | Gen3 Marketing | CoolSys | Dr. Squatch | | Lilly Lashes | UBEO | Applied Technical Services | Quantic Electronics | CHA Consulting</t>
  </si>
  <si>
    <t>Marketplace Events (CAD Term Loan) | Marketplace Events (USD Term Loan) | Marketplace Events (DDTL) | Marketplace Events (USD Term Loan) | Marketplace Events (DDTL)</t>
  </si>
  <si>
    <t>48Forty (Common Equity) | 48Forty (Term Loan) | 48Forty (Term Loan) | 48Forty (DDTL)</t>
  </si>
  <si>
    <t>Ad.net Acquisition, LLC Term Loan</t>
  </si>
  <si>
    <t>Ad.net | 48Forty | Integrity Marketing | Recteq | Vertex | Zips | Gen3 Marketing | CoolSys | Dr. Squatch | | Lilly Lashes | UBEO | Applied Technical Services | Quantic Electronics | CHA Consulting | Confluent Health | Connatix | Painters Supply and Equipment | Sparq | Hanley Wood</t>
  </si>
  <si>
    <t>Ad.net (Term Loan) | Ad.net (Common Equity) | Ad.net (Common Equity) | Ad.net (Preferred Equity) | Ad.net (Revolver)</t>
  </si>
  <si>
    <t>Aechelon Technology Inc. Term Loan</t>
  </si>
  <si>
    <t>Aechelon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</si>
  <si>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Aechelon (Term Loan) | Aechelon (Common Equity) | Aechelon (Revolver)</t>
  </si>
  <si>
    <t>AFC-Dell Holding Corp. Delayed Draw Loan</t>
  </si>
  <si>
    <t>| Infinity Home Services | Hanley Wood | Sparq | Manna Pro | Marketplace Events | MES | OSG Billing Services | Sales Benchmark Index (SBI) | Prelude | Hancock</t>
  </si>
  <si>
    <t>A1 Garage (DDTL) | Country Fresh (Interim Bridge DDTL) | FlexPrint (DDTL) | FlexPrint (DDTL) | Kentucky Downs (DDTL A)</t>
  </si>
  <si>
    <t>AFC-Dell Holding Corp. Term Loan</t>
  </si>
  <si>
    <t>AFC Acquisitions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</si>
  <si>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AFC Industries (DDTL) | AFC Industries (TL) | AFC Industries (TL) | AFC Industries (DDTL) | AFC Industries (Common Equity)</t>
  </si>
  <si>
    <t>Burgess Point Purchaser Corporation Term Loan</t>
  </si>
  <si>
    <t>BBB Industries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</si>
  <si>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BBB Industries (First Lien Term Loan) | BBB Industries (Second Lien Term Loan) | BBB Industries (Common Equity)</t>
  </si>
  <si>
    <t xml:space="preserve"> </t>
  </si>
  <si>
    <t>BLC Holding Company, Inc. Delayed Draw Loan</t>
  </si>
  <si>
    <t>| Infinity Home Services | Bland Landscaping | Hanley Wood | Sparq | Manna Pro | Marketplace Events | MES | OSG Billing Services | Sales Benchmark Index (SBI) | Prelude | Hancock | Recteq | Vertex | Zips | Gen3 Marketing | CoolSys | Dr. Squatch | Lilly Lashes | UBEO</t>
  </si>
  <si>
    <t>Bluebird Group LLC, The Term Loan</t>
  </si>
  <si>
    <t>Bluebird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</si>
  <si>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Bluebird (Term Loan) | Bluebird (Revolver)</t>
  </si>
  <si>
    <t>Aegis Technologies Group, LLC, The Term Loan</t>
  </si>
  <si>
    <t>BlueHalo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</si>
  <si>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BlueHalo Global Holdings, LLC Term Loan</t>
  </si>
  <si>
    <t>BlueHalo | Schlesinger | Recteq | Vertex | Zips | Gen3 Marketing | CoolSys | Dr. Squatch | | Lilly Lashes | UBEO | Applied Technical Services | Quantic Electronics | CHA Consulting | Confluent Health | Connatix | Painters Supply and Equipment | Sparq | Hanley Wood | Wheel Pros</t>
  </si>
  <si>
    <t>By Light Professional IT Services LLC Revolving Loan</t>
  </si>
  <si>
    <t>By Light (Term Loan)</t>
  </si>
  <si>
    <t>By Light | Applied Technical Services | Any Hour Services | Crane 1 | Compex Legal | IDC Infusion Services | MES | Paradigm Oral Surgery | OSG Billing Services | Infinity Home Services</t>
  </si>
  <si>
    <t>By Light (Term Loan) | By Light (DDTL) | By Light (Term Loan) | By Light (HoldCo Note) | By Light (Equity)</t>
  </si>
  <si>
    <t>Lightspeed Buyer, Inc. Revolving Loan</t>
  </si>
  <si>
    <t>Centauri Health | Connatix | Painters Supply and Equipment | Sparq | First Star | Watchtower Buyer | APHIX | Carisk Partners | Epiq | 360DG | HALO | Molded Devices | McAfee | Penta | Podean | Seaway Plastics | Velocity Rail Solutions | Integrated Data Services | Pegasus Steel | Tranzact</t>
  </si>
  <si>
    <t>Centauri Health (TL) | Centauri Health (TL) | Centauri Health (DDTL) | Centauri Health (Revolver) | Centauri Health (Revolver)</t>
  </si>
  <si>
    <t>Dr. Squatch, LLC Term Loan</t>
  </si>
  <si>
    <t>Dr. Squatch | Dr. Scholl's | Recteq | Vertex | Zips | Gen3 Marketing | CoolSys | | Lilly Lashes | UBEO | Applied Technical Services | Quantic Electronics | CHA Consulting | Confluent Health | Connatix | Painters Supply and Equipment | Sparq | Hanley Wood | Wheel Pros | ImagineAcquisitionCo</t>
  </si>
  <si>
    <t>Dr. Squatch (Term Loan) | Dr. Squatch (Term Loan) | Dr. Squatch (DDTL) | Dr. Squatch (Revolver) | Dr. Squatch (Revolver)</t>
  </si>
  <si>
    <t>GGG Midco, LLC Delayed Draw Loan</t>
  </si>
  <si>
    <t>Guild Garage Group | | Infinity Home Services | Hanley Wood | Sparq | Manna Pro | Marketplace Events | MES | OSG Billing Services | Sales Benchmark Index (SBI) | Prelude | Hancock</t>
  </si>
  <si>
    <t>Guild Garage Group (DDTL) | Guild Garage Group (Revolver) | Guild Garage Group (Common Equity) | Guild Garage Group (Term Loan)</t>
  </si>
  <si>
    <t>Infinity Home Services Holdco, Inc Delayed Draw Loan</t>
  </si>
  <si>
    <t>Infinity Home Services | | Hanley Wood | MES | OSG Billing Services | Sparq | Manna Pro | Marketplace Events | Sales Benchmark Index (SBI) | Prelude | Hancock | Applied Technical Services | Any Hour Services | Crane 1 | Compex Legal | IDC Infusion Services | Paradigm Oral Surgery | By Light</t>
  </si>
  <si>
    <t>Infinity Home Services (DDTL) | Infinity Home Services (DDTL) CAD | Infinity Home Services (DDTL) | Infinity Home Services (Common Equity) | Infinity Home Services (Common Equity)</t>
  </si>
  <si>
    <t>Lash Opco, LLC Term Loan</t>
  </si>
  <si>
    <t>Lilly Lashes | Recteq | Vertex | Zips | Gen3 Marketing | CoolSys | Dr. Squatch | | UBEO | Applied Technical Services | Quantic Electronics | CHA Consulting | Confluent Health | Connatix | Painters Supply and Equipment | Sparq | Hanley Wood | Wheel Pros | ImagineAcquisitionCo | Pegasus Steel</t>
  </si>
  <si>
    <t>Lilly Lashes (TL) | Lilly Lashes (TL) | Lilly Lashes (Equity) | Lilly Lashes (Revolver) | Lilly Lashes (Revolver)</t>
  </si>
  <si>
    <t>OSP EMBEDDED PURCHASER, LLC Term Loan</t>
  </si>
  <si>
    <t>Lynx Technologies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</si>
  <si>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Lynx Technologies (TL) | Lynx Technologies (Common Equity) | Lynx Technologies (Revolver)</t>
  </si>
  <si>
    <t>Anteriad, LLC Term Loan</t>
  </si>
  <si>
    <t>MeritDirect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</si>
  <si>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MeritDirect (Term Loan) | MeritDirect (Common Equity) | MeritDirect (Common Equity) | MeritDirect (Preferred Equity) | MeritDirect (Preferred Equity)</t>
  </si>
  <si>
    <t>MeritDirect, LLC Term Loan</t>
  </si>
  <si>
    <t>OSG (Common Equity) | OSG (TL) | OSG (DDTL) | OSG (DDTL) | OSG (DDTL)</t>
  </si>
  <si>
    <t>Pragmatic Institute (Common) | Pragmatic Institute (TL) | Pragmatic Institute (Revolver) | Pragmatic Institute (DDTL)</t>
  </si>
  <si>
    <t>Paving Lessor Corp. Term Loan</t>
  </si>
  <si>
    <t>C&amp;K Paving Contractors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</si>
  <si>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Lightspeed Buyer, Inc. Term Loan</t>
  </si>
  <si>
    <t>Centauri Health | Connatix | Painters Supply and Equipment | Sparq | First Star | Recteq | Vertex | Zips | Gen3 Marketing | CoolSys | Dr. Squatch | | Lilly Lashes | UBEO | Applied Technical Services | Quantic Electronics | CHA Consulting | Confluent Health | Hanley Wood | Wheel Pros</t>
  </si>
  <si>
    <t>Centauri Health (TL) | Centauri Health (TL) | Centauri Health (DDTL) | Centauri Health (Equity) | Centauri Health (Revolver)</t>
  </si>
  <si>
    <t>NFS - CFP Holdings LLC Term Loan</t>
  </si>
  <si>
    <t>Commercial Fire Protection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</si>
  <si>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Commercial Fire Protection (Term Loan) | Commercial Fire Protection (DDTL) | Commercial Fire Protection (Common Equity) | Commercial Fire Protection (Revolver)</t>
  </si>
  <si>
    <t>DRS Holdings III, Inc. Term Loan</t>
  </si>
  <si>
    <t>Dr. Scholl's | Wheel Pros | Apex Service Partners | Recteq | Vertex | Zips | Gen3 Marketing | CoolSys | Dr. Squatch | | Lilly Lashes | UBEO | Applied Technical Services | Quantic Electronics | CHA Consulting | Confluent Health | Connatix | Painters Supply and Equipment | Sparq | Hanley Wood</t>
  </si>
  <si>
    <t>Dr. Scholl's (Term Loan) | Dr. Scholl's (Term Loan) | Dr. Scholl's (Term Loan) | Dr. Scholl's (Revolver) | Dr. Scholl's (Revolver)</t>
  </si>
  <si>
    <t>Arcline FM Holdings LLC Term Loan</t>
  </si>
  <si>
    <t>Recteq | Vertex | Zips | Gen3 Marketing | CoolSys | Dr. Squatch | | Lilly Lashes | UBEO | Applied Technical Services | Quantic Electronics | CHA Consulting | Confluent Health | Connatix | Painters Supply and Equipment | Sparq | Hanley Wood | Wheel Pros | ImagineAcquisitionCo | Pegasus Steel</t>
  </si>
  <si>
    <t>Recteq (TL) | Recteq (TL) | Recteq (Equity) | Recteq (Equity) | Recteq (Equity)</t>
  </si>
  <si>
    <t>Management Consulting &amp; Research, LLC Term Loan</t>
  </si>
  <si>
    <t>MCR | Paradigm Oral Surgery | SightMD | | Recteq | Vertex | Zips | Gen3 Marketing | CoolSys | Dr. Squatch | Lilly Lashes | UBEO | Applied Technical Services | Quantic Electronics | CHA Consulting | Confluent Health | Connatix | Painters Supply and Equipment | Sparq | Hanley Wood</t>
  </si>
  <si>
    <t>MCR (Term Loan) | MCR (Term Loan) | MCR (Term Loan) | MCR (Term Loan) | MCR (Revolver)</t>
  </si>
  <si>
    <t>PlayPower, Inc. Term Loan</t>
  </si>
  <si>
    <t>PlayPower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</si>
  <si>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APT Healthcare</t>
  </si>
  <si>
    <t>APT Healthcare (Term Loan)</t>
  </si>
  <si>
    <t>APT Healthcare (Term Loan) | APT Healthcare (Common Equity) | APT Healthcare (Incr. DDTL) | APT Healthcare (Revolver) | APT Healthcare (Term Loan)</t>
  </si>
  <si>
    <t>Boss Industries</t>
  </si>
  <si>
    <t>Boss Industries (Revolver)</t>
  </si>
  <si>
    <t>Boss Industries | ECM Industries | 360DG | AFC Acquisitions | DermaRite | BBB Industries | Nsi Industries</t>
  </si>
  <si>
    <t>Boss Industries (Revolver) | Boss Industries (Term Loan) | Boss Industries (Common Equity)</t>
  </si>
  <si>
    <t>4Wall Entertainment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</si>
  <si>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4Wall Entertainment (Term Loan) | 4Wall Entertainment (DDTL) | 4Wall Entertainment (Revolver) | 4Wall Entertainment (Revolver)</t>
  </si>
  <si>
    <t>Big Top Manufacturing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</si>
  <si>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Big Top Manufacturing (Term Loan) | Big Top Manufacturing (Common Equity) | Big Top Manufacturing (Revolver)</t>
  </si>
  <si>
    <t>Integrated Data Services | Connatix | Painters Supply and Equipment | Sparq | Centauri Health | First Star | Recteq | Vertex | Zips | Gen3 Marketing | CoolSys | Dr. Squatch | | Lilly Lashes | UBEO | Applied Technical Services | Quantic Electronics | CHA Consulting | Confluent Health | Hanley Wood</t>
  </si>
  <si>
    <t>Integrated Data Services (TL) | Integrated Data Services (Rev)</t>
  </si>
  <si>
    <t>KNS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</si>
  <si>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KNS (Term Loan) | KNS (Equity) | KNS (Revolver) | KNS (Revolver)</t>
  </si>
  <si>
    <t>Radius Aerospace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</si>
  <si>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Radius Aerospace (Term Loan) | Radius Aerospace (Revolver) | Radius Aerospace (Revolver)</t>
  </si>
  <si>
    <t>Roofed Right America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</si>
  <si>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Roofed Right America (DDTL 2) | Roofed Right America (DDTL 1) | Roofed Right America (Term Loan) | Roofed Right America (Revolver)</t>
  </si>
  <si>
    <t>TVC (DDTL) | TVC (Equity) | TVC (TL) | TVC (Revolver) | TVC (Revolver)</t>
  </si>
  <si>
    <t>TVC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</si>
  <si>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TVC (TL) | TVC (DDTL) | TVC (Equity) | TVC (Revolver) | TVC (Revolver)</t>
  </si>
  <si>
    <t>Aeronix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</si>
  <si>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Aeronix (TL) | Aeronix (DDTL) | Aeronix (Common Equity) | Aeronix (Revolver)</t>
  </si>
  <si>
    <t>Sabel Systems (Common Equity)</t>
  </si>
  <si>
    <t>Sabel Systems (Common Equity) | Sabel Systems (Term Loan) | Sabel Systems (Revolver)</t>
  </si>
  <si>
    <t>North American Rail Solutions | American Insulated Glass | Recteq | Vertex | Zips | Gen3 Marketing | CoolSys | Dr. Squatch | | Lilly Lashes | UBEO | Applied Technical Services | Quantic Electronics | CHA Consulting | Confluent Health | Connatix | Painters Supply and Equipment | Sparq | Hanley Wood | Wheel Pros</t>
  </si>
  <si>
    <t>North American Rail Solutions (Term Loan) | North American Rail Solutions (DDTL) | North American Rail Solutions (Revolver)</t>
  </si>
  <si>
    <t>Smartronix / Trident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</si>
  <si>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Smartronix / Trident (TL) | Smartronix / Trident (TL) | Smartronix / Trident (TL) | Smartronix / Trident (Common Equity) | Smartronix / Trident (Common Equity)</t>
  </si>
  <si>
    <t>STG (First Out New Money Term Loans)</t>
  </si>
  <si>
    <t>STG Logistics | BlackHawk Industrial | Recteq | Vertex | Zips | Gen3 Marketing | CoolSys | Dr. Squatch | | Lilly Lashes | UBEO | Applied Technical Services | Quantic Electronics | CHA Consulting | Confluent Health | Connatix | Painters Supply and Equipment | Sparq | Hanley Wood | Wheel Pros</t>
  </si>
  <si>
    <t>STG (First Out New Money Term Loans) | STG (TL) | STG (Second Out Term Loans) | STG (TL)</t>
  </si>
  <si>
    <t>Zips (DDTL)</t>
  </si>
  <si>
    <t>Zips | Recteq | Vertex | Gen3 Marketing | CoolSys | Dr. Squatch | | Lilly Lashes | UBEO | Applied Technical Services | Quantic Electronics | CHA Consulting | Confluent Health | Connatix | Painters Supply and Equipment | Sparq | Hanley Wood | Wheel Pros | ImagineAcquisitionCo | Pegasus Steel</t>
  </si>
  <si>
    <t>Zips (DDTL) | Zips (Rollup DIP Term Loan) | Zips (New OpCo Term Loan) | Zips (New Money DIP Term Loan) | Zips (Term Loan)</t>
  </si>
  <si>
    <t>A1 Garage (Common Equity) | A1 Garage (DDTL) | A1 Garage (Revolver) | A1 Garage (Term Loan) | A1 Garage (Revolver)</t>
  </si>
  <si>
    <t>Archer Lewis | Recteq | Vertex | Gen3 Marketing | | Dr. Squatch | Good2Grow | MeritDirect | Pragmatic Institute | Questex | Solutionreach | UBEO | OpenRoad Lending | Quantic Electronics | API Technologies | Altamira | Apex Service Partners | Arcfield | Cartessa | Connatix</t>
  </si>
  <si>
    <t>Beta+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</si>
  <si>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Beta+ (TL) | Beta+ (TL)</t>
  </si>
  <si>
    <t>Sparq (DDTL)</t>
  </si>
  <si>
    <t>Sparq | Crane 1</t>
  </si>
  <si>
    <t>Sparq (DDTL) | Sparq (TL) | Sparq (TL) | Sparq (Common Equity) | Sparq (Revolver)</t>
  </si>
  <si>
    <t>BiggerPockets | ImagineAcquisitionCo | Pink Lily | Recteq | Vertex | Gen3 Marketing | | Dr. Squatch | Good2Grow | MeritDirect | Pragmatic Institute | Questex | Solutionreach | UBEO | OpenRoad Lending | Quantic Electronics | API Technologies | Altamira | Apex Service Partners | Arcfield</t>
  </si>
  <si>
    <t>BiggerPockets (Revolver) | BiggerPockets (TL) | BiggerPockets (TL) | BiggerPockets (Common Equity)</t>
  </si>
  <si>
    <t>Carnegie Dartlet (DDTL) | Carnegie Dartlet (Term Loan) | Carnegie Dartlet (Term Loan) | Carnegie Dartlet (Revolver) | Carnegie Dartlet (Common Equity)</t>
  </si>
  <si>
    <t>Comprehensive Rehab Consultants | Confluent Health | Rancho Medical | Ro Health | Cano Health | Nevada Behavioral Health Systems | | Douglas | Centauri Health | EvAl | Recteq | Vertex | Zips | Gen3 Marketing | CoolSys | Dr. Squatch | Lilly Lashes | UBEO | Applied Technical Services | Quantic Electronics</t>
  </si>
  <si>
    <t>Comprehensive Rehab Consultants (Term Loan) | Comprehensive Rehab Consultants (Revolver) | Comprehensive Rehab Consultants (Common Equity)</t>
  </si>
  <si>
    <t>Engine &amp; Transmission Exchange (Common Equity) | Engine &amp; Transmission Exchange (Term Loan) | Engine &amp; Transmission Exchange (Revolver) | Engine &amp; Transmission Exchange (Promissory Note)</t>
  </si>
  <si>
    <t>Epiq (Common) | Epiq (TL) | Epiq (Revolver) | Epiq (DDTL)</t>
  </si>
  <si>
    <t>Evans Network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</si>
  <si>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Evans Network (1L) | Evans Network (2L)</t>
  </si>
  <si>
    <t>Federal Advisory Partners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</si>
  <si>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Federal Advisory Partners (First Lien Term Loan) | Federal Advisory Partners (Term Loan) | Federal Advisory Partners (Term Loan) | Federal Advisory Partners (Common Equity) | Federal Advisory Partners (Common Equity)</t>
  </si>
  <si>
    <t>Infinity Home Services | Applied Technical Services | Hanley Wood | Any Hour Services | Crane 1 | Compex Legal | IDC Infusion Services | MES | Paradigm Oral Surgery | OSG Billing Services | By Light</t>
  </si>
  <si>
    <t>Infinity Home Services (Term Loan) | Infinity Home Services (DDTL) | Infinity Home Services (DDTL) CAD | Infinity Home Services (DDTL) | Infinity Home Services (Common Equity)</t>
  </si>
  <si>
    <t>Jones &amp; Frank | Recteq | Vertex | Zips | Gen3 Marketing | CoolSys | Dr. Squatch | | Lilly Lashes | UBEO | Applied Technical Services | Quantic Electronics | CHA Consulting | Confluent Health | Connatix | Painters Supply and Equipment | Sparq | Hanley Wood | Wheel Pros | ImagineAcquisitionCo</t>
  </si>
  <si>
    <t>Jones &amp; Frank (TL) | Jones &amp; Frank (Common) | Jones &amp; Frank (Common) | Jones &amp; Frank (Preferred) | Jones &amp; Frank (Series B)</t>
  </si>
  <si>
    <t>4Wall Entertainment (Term Loan) | 4Wall Entertainment (Revolver) | 4Wall Entertainment (Revolver) | 4Wall Entertainment (DDTL)</t>
  </si>
  <si>
    <t>Aeronix (Revolver) | Aeronix (TL) | Aeronix (DDTL) | Aeronix (Common Equity)</t>
  </si>
  <si>
    <t>Any Hour Services (Term Loan) | Any Hour Services (Revolver) | Any Hour Services (DDTL) | Any Hour Services (DDTL II) | Any Hour Services (Common Equity)</t>
  </si>
  <si>
    <t>Cano Health (Equity) | Cano Health (Equity) | Cano Health (Equity)</t>
  </si>
  <si>
    <t>Infinity Home Services (Common Equity) | Infinity Home Services (Common Equity) | Infinity Home Services (Term Loan) | Infinity Home Services (DDTL) | Infinity Home Services (DDTL) CAD</t>
  </si>
  <si>
    <t>Recteq (Equity) | Recteq (Equity) | Recteq (Equity) | Recteq (TL) | Recteq (Revolver)</t>
  </si>
  <si>
    <t>Watterson (Revolver) | Watterson (TL) | Watterson (Equity) | Watterson (DDTL) | Watterson (Equity)</t>
  </si>
  <si>
    <t>Watchtower Buyer | Watchtower | Watchtower Holdings | Connatix | Five Star | First Star | Painters Supply and Equipment | Sparq | Centauri Health | Seaway Plastics | APHIX | Carisk Partners | Epiq | 360DG | HALO | Molded Devices | McAfee | Penta | Podean | Velocity Rail Solutions</t>
  </si>
  <si>
    <t>Watchtower Buyer (Revolver) | Watchtower Buyer (DDTL) | Watchtower Buyer (TL)</t>
  </si>
  <si>
    <t>Tranzact (DDTL) | Tranzact (Term Loan) | Tranzact (Common Equity) | Tranzact (Revolver)</t>
  </si>
  <si>
    <t>TransGo (Equity) | TransGo (Equity) | TransGo (TL) | TransGo (Revolver)</t>
  </si>
  <si>
    <t>STG (Second Out Term Loans)</t>
  </si>
  <si>
    <t>STG (Second Out Term Loans) | STG (First Out New Money Term Loans) | STG (TL) | STG (TL)</t>
  </si>
  <si>
    <t>Sparq | Recteq | Vertex | Gen3 Marketing | | Dr. Squatch | Good2Grow | MeritDirect | Pragmatic Institute | Questex | Solutionreach | UBEO | OpenRoad Lending | Quantic Electronics | API Technologies | Altamira | Apex Service Partners | Arcfield | Cartessa | Connatix</t>
  </si>
  <si>
    <t>Sparq (Revolver) | Sparq (Common Equity) | Sparq (DDTL) | Sparq (TL) | Sparq (TL)</t>
  </si>
  <si>
    <t>Schlesinger | Infosoft | Lilly Lashes | TVC | Engine &amp; Transmission Exchange | Loving Tan</t>
  </si>
  <si>
    <t>Schlesinger (Equity) | Schlesinger (Term Loan) | Schlesinger (Term Loan) | Schlesinger (Revolver) | Schlesinger (Revolver)</t>
  </si>
  <si>
    <t>Peninsula Pacific Entertainment</t>
  </si>
  <si>
    <t>Peninsula Pacific Entertainment (DDTL B)</t>
  </si>
  <si>
    <t>Peninsula Pacific Entertainment | ProSearch | | KNS | LifePort | STG Logistics | Adweek | Aspect Software | Health-E Commerce | Vision Integrated | Lynx Technologies | BBB Industries | Recteq | Vertex | Gen3 Marketing | Dr. Squatch | Good2Grow | MeritDirect | Pragmatic Institute | Questex</t>
  </si>
  <si>
    <t>Peninsula Pacific Entertainment (DDTL B) | Peninsula Pacific Entertainment (Term Loan B)</t>
  </si>
  <si>
    <t>Aechelon (Common Equity) | Aechelon (Term Loan) | Aechelon (Revolver)</t>
  </si>
  <si>
    <t>BiggerPockets (Common Equity) | BiggerPockets (TL) | BiggerPockets (TL) | BiggerPockets (Revolver)</t>
  </si>
  <si>
    <t>C5MI | Carnegie Dartlet | Hanley Wood | Applied Technical Services | | Smartronix / Trident | Allied Universal | Boss Industries | ECL Entertainment | Centauri Health | Lucky Bucks | OpenRoad Lending | Pink Lily | PDS Tri-State | Infinity Home Services | Signature Systems Group</t>
  </si>
  <si>
    <t>C5MI (Preferred Equity) | C5MI (Common Equity) | C5MI (Term Loan) | C5MI (Revolver)</t>
  </si>
  <si>
    <t>Connatix | Planview | Rancho Medical | Rosco | Nsi Industries | Evans Network | Targeted Pet Care | Watterson | Infogroup | Recteq | NORA | RTIC | Consilio | Carisk Partners | Five Star | First Star | Infinity Home Services | Vertex | BlackHawk Industrial | United Land Services</t>
  </si>
  <si>
    <t>Connatix (Common Equity) | Connatix (Term Loan) | Connatix (Revolver) | Connatix (Revolver) | Connatix (DDTL)</t>
  </si>
  <si>
    <t>Rancho Medical | Connatix | Planview | Rosco | Nsi Industries | Evans Network | Targeted Pet Care | Watterson | Infogroup | Recteq | NORA | RTIC | Consilio | Carisk Partners | Five Star | First Star | Infinity Home Services | Vertex | BlackHawk Industrial | United Land Services</t>
  </si>
  <si>
    <t>Rancho (Equity) | Rancho (Equity) | Rancho (TL) | Rancho (TL) | Rancho (DDTL)</t>
  </si>
  <si>
    <t>Tranzact (Common Equity) | Tranzact (DDTL) | Tranzact (Revolver) | Tranzact (Term Loan)</t>
  </si>
  <si>
    <t>Tyto Athene (Equity) | Tyto Athene (Pref) | Tyto Athene (Term Loan) | Tyto Athene (Term Loan) | Tyto Athene (Revolver)</t>
  </si>
  <si>
    <t>Vertex | Connatix | Planview | Rancho Medical | Rosco | Nsi Industries | Evans Network | Targeted Pet Care | Watterson | Infogroup | Recteq | NORA | RTIC | Consilio | Carisk Partners | Five Star | First Star | Infinity Home Services | BlackHawk Industrial | United Land Services</t>
  </si>
  <si>
    <t>Vertex (Common Equity) | Vertex (Common Equity) | Vertex (Preferred Equity) | Vertex (Preferred Equity) | Vertex (Term Loan)</t>
  </si>
  <si>
    <t>Vertex (Preferred Equity) | Vertex (Preferred Equity) | Vertex (Common Equity) | Vertex (Common Equity) | Vertex (Term Loan)</t>
  </si>
  <si>
    <t>Watchtower (TL)</t>
  </si>
  <si>
    <t>Watchtower | Watchtower Buyer | Watchtower Holdings</t>
  </si>
  <si>
    <t>Watchtower (TL) | Watchtower (Revolver) | Watchtower (DDTL)</t>
  </si>
  <si>
    <t>Watterson (Equity) | Watterson (Equity) | Watterson (TL) | Watterson (Revolver) | Watterson (DDTL)</t>
  </si>
  <si>
    <t>APRA</t>
  </si>
  <si>
    <t>APRA (Term Loan)</t>
  </si>
  <si>
    <t>APRA | Watchtower Buyer | 360DG | Marketplace Events | APHIX</t>
  </si>
  <si>
    <t>APRA (Term Loan) | APRA (Common) | APRA (Revolver) | APRA (Revolver)</t>
  </si>
  <si>
    <t>48Forty | Smartronix / Trident | Douglas | Engine &amp; Transmission Exchange | Exigo</t>
  </si>
  <si>
    <t>Ad.net | Arcfield | C5MI | GCOM | Duggal Visual Solutions</t>
  </si>
  <si>
    <t>AFC Industries (DDTL) | AFC Industries (DDTL) | AFC Industries (Common Equity) | AFC Industries (Common Equity) | AFC Industries (TL)</t>
  </si>
  <si>
    <t>BBB Industries | STG Logistics | Adweek | Health-E Commerce | Aspect Software</t>
  </si>
  <si>
    <t>Bland Landscaping (DDTL) | Bland Landscaping (Revolver) | Bland Landscaping (Term Loan)</t>
  </si>
  <si>
    <t>BlueHalo | Altamira | Nuvei | Beta+ | API Technologies</t>
  </si>
  <si>
    <t>BlueHalo | Global | Schlesinger | Insight Global | UniTek</t>
  </si>
  <si>
    <t>Centauri Health | Watchtower Buyer | APHIX | Carisk Partners | Connatix</t>
  </si>
  <si>
    <t>Guild Garage Group | Total Pool Care Network | PCS Retirement</t>
  </si>
  <si>
    <t>Infinity Home Services | Applied Technical Services | OSG Billing Services | Any Hour Services | IDC Infusion Services</t>
  </si>
  <si>
    <t>Lynx Technologies | STG Logistics | Adweek | PAR Excellence | Aspect Software</t>
  </si>
  <si>
    <t>OSG Billing Services | Epiq | 360DG | Guild Garage Group | Northwinds</t>
  </si>
  <si>
    <t>Centauri Health | Watchtower Buyer | Connatix | APHIX | Carisk Partners</t>
  </si>
  <si>
    <t>Dr. Scholl's | API Technologies | Apex Service Partners | Wheel Pros | Paris Presents</t>
  </si>
  <si>
    <t>MCR | Paradigm Oral Surgery | Solaris Health | | New Gulf Resources</t>
  </si>
  <si>
    <t>Boss Industries | DermaRite | ECM Industries | BBB Industries | AFC Acquisitions</t>
  </si>
  <si>
    <t>Watchtower Buyer (DDTL)</t>
  </si>
  <si>
    <t>Watchtower Buyer | Integrated Data Services | Big Top Manufacturing | nThrive | APHIX</t>
  </si>
  <si>
    <t>Watchtower Buyer (DDTL) | Watchtower Buyer (TL) | Watchtower Buyer (Revolver)</t>
  </si>
  <si>
    <t>KNS | STG Logistics | Adweek | Health-E Commerce | Aspect Software</t>
  </si>
  <si>
    <t>Radius Aerospace | MAG Aerospace | Cadence Aerospace</t>
  </si>
  <si>
    <t>US Fertility</t>
  </si>
  <si>
    <t>US Fertility | TVC</t>
  </si>
  <si>
    <t>US Fertility (DDTL) | US Fertility (Term Loan)</t>
  </si>
  <si>
    <t>Sabel Systems | Nevada Behavioral Health Systems | | Signature Systems Group | MCR</t>
  </si>
  <si>
    <t>North American Rail Solutions | Velocity Rail Solutions | SpendMend | American Insulated Glass | Premiere Global Services (PGi)</t>
  </si>
  <si>
    <t>Beta+ | Altamira | Nuvei | API Technologies | Lynx Technologies</t>
  </si>
  <si>
    <t>Comprehensive Rehab Consultants | Confluent Health | Ro Health | Cano Health | Nevada Behavioral Health Systems</t>
  </si>
  <si>
    <t>Infosoft | Lilly Lashes | Loving Tan | Engine &amp; Transmission Exchange | Schlesinger</t>
  </si>
  <si>
    <t>Infosoft (Common Equity) | Infosoft (Common Equity) | Infosoft (TL)</t>
  </si>
  <si>
    <t>Epiq | 360DG | Guild Garage Group | Seaway Plastics | Northwinds</t>
  </si>
  <si>
    <t>Evans Network | Planview | Connatix | Rancho Medical | Rosco</t>
  </si>
  <si>
    <t>Infinity Home Services | Applied Technical Services | Any Hour Services | IDC Infusion Services | OSG Billing Services</t>
  </si>
  <si>
    <t>Any Hour Services | Applied Technical Services | IDC Infusion Services | OSG Billing Services | TEAM Services Group</t>
  </si>
  <si>
    <t>Cano Health | | Confluent Health | Ro Health | Nevada Behavioral Health Systems</t>
  </si>
  <si>
    <t>Infinity Home Services | Any Hour Services | Applied Technical Services | IDC Infusion Services | OSG Billing Services</t>
  </si>
  <si>
    <t>Watterson | Recteq | Vertex | Gen3 Marketing |</t>
  </si>
  <si>
    <t>Watchtower Buyer | Watchtower | Connatix | Five Star | Watchtower Holdings</t>
  </si>
  <si>
    <t>Tranzact | Connatix | Painters Supply and Equipment | Sparq | Centauri Health</t>
  </si>
  <si>
    <t>STG Logistics | BlackHawk Industrial | Plimpton &amp; Hills | WhiteHawk Industrial | Recteq</t>
  </si>
  <si>
    <t>Recteq (Revolver)</t>
  </si>
  <si>
    <t>Recteq | Sparq | Vertex | Gen3 Marketing |</t>
  </si>
  <si>
    <t>Recteq (Revolver) | Recteq (Revolver) | Recteq (Revolver) | Recteq (Equity) | Recteq (Equity)</t>
  </si>
  <si>
    <t>Infosoft | Lilly Lashes | TVC | Schlesinger | Engine &amp; Transmission Exchange</t>
  </si>
  <si>
    <t>KNS | LifePort | Peninsula Pacific Entertainment | ProSearch |</t>
  </si>
  <si>
    <t>KNS (Revolver) | KNS (Revolver) | KNS (Term Loan) | KNS (Equity)</t>
  </si>
  <si>
    <t>Aechelon | Athene | Sigma Defense | Federal Advisory Partners | GCOM</t>
  </si>
  <si>
    <t>C5MI | Carnegie Dartlet | Applied Technical Services | Hanley Wood |</t>
  </si>
  <si>
    <t>Connatix | Rancho Medical | Nsi Industries | Planview | Rosco</t>
  </si>
  <si>
    <t>Rancho Medical | Connatix | Nsi Industries | Planview | Rosco</t>
  </si>
  <si>
    <t>Vertex | Connatix | Rancho Medical | Planview | Rosco</t>
  </si>
  <si>
    <t>Securities result</t>
  </si>
  <si>
    <t>Marketplace Events | APRA | 360DG</t>
  </si>
  <si>
    <t>48Forty | Watchtower Holdings | AKW Holdings | American Surgical | Ascensus</t>
  </si>
  <si>
    <t>48Forty (Common Equity) | 48Forty (Term Loan) | 48Forty (Term Loan) | 48Forty (DDTL) | AKW Holdings (Term Loan)</t>
  </si>
  <si>
    <t>Sabel Systems | Aechelon | Intellectual Technology</t>
  </si>
  <si>
    <t>Aechelon (Term Loan) | Intellectual Technology, Inc. (TL) | Sabel Systems (Term Loan) | Aechelon (Common Equity) | Sabel Systems (Common Equity)</t>
  </si>
  <si>
    <t>AFC Acquisitions | Digital Room | Bland Landscaping | Hightower</t>
  </si>
  <si>
    <t>AFC Industries (DDTL) | AFC Industries (DDTL) | Bland Landscaping (DDTL) | AFC Industries (Common Equity) | AFC Industries (Common Equity)</t>
  </si>
  <si>
    <t>AFC Acquisitions | Hightower | Digital Room | Bland Landscaping</t>
  </si>
  <si>
    <t>AFC Industries (DDTL) | AFC Industries (TL) | AFC Industries (TL) | AFC Industries (DDTL) | Hightower (Term Loan)</t>
  </si>
  <si>
    <t>Bland Landscaping | Digital Room | Hightower | Vision Integrated</t>
  </si>
  <si>
    <t>BlueHalo (Term Loan) | Altamira (TL) | Nuvei (Term Loan) | Beta+ (TL) | Beta+ (TL)</t>
  </si>
  <si>
    <t>BlueHalo | Global | Schlesinger | AKW Holdings | Watchtower Holdings</t>
  </si>
  <si>
    <t>BlueHalo (Term Loan) | Global (Term Loan) | AKW Holdings (Term Loan) | Schlesinger (Term Loan) | Schlesinger (Term Loan)</t>
  </si>
  <si>
    <t>Dr. Squatch (Term Loan) | Dr. Squatch (Term Loan) | Dr. Squatch (DDTL) | Dr. Scholl's (Term Loan) | Dr. Scholl's (Term Loan)</t>
  </si>
  <si>
    <t>Infinity Home Services | OSG Billing Services | Any Hour Services | Applied Technical Services | IDC Infusion Services</t>
  </si>
  <si>
    <t>Infinity Home Services (DDTL) | Infinity Home Services (DDTL) CAD | Infinity Home Services (DDTL) | Any Hour Services (DDTL) | Any Hour Services (DDTL II)</t>
  </si>
  <si>
    <t>Lynx Technologies | PAR Excellence</t>
  </si>
  <si>
    <t>Lynx Technologies (TL) | PAR Excellence (Term Loan) | Lynx Technologies (Common Equity) | PAR Excellence (Common Equity) | Lynx Technologies (Revolver)</t>
  </si>
  <si>
    <t>OSG Billing Services | Watchtower Holdings | AKW Holdings | American Surgical | Ascensus</t>
  </si>
  <si>
    <t>AKW Holdings (Term Loan)</t>
  </si>
  <si>
    <t>Commercial Fire Protection | AKW Holdings | Ascensus | Watchtower Holdings | American Surgical</t>
  </si>
  <si>
    <t>AKW Holdings (Term Loan) | Commercial Fire Protection (Term Loan) | Commercial Fire Protection (DDTL) | Ascensus (Term Loan) | Ascensus (2L Term Loan)</t>
  </si>
  <si>
    <t>Dr. Scholl's | API Technologies | AKW Holdings | Paris Presents | Watchtower Holdings</t>
  </si>
  <si>
    <t>Dr. Scholl's (Term Loan) | Dr. Scholl's (Term Loan) | Dr. Scholl's (Term Loan) | AKW Holdings (Term Loan) | API Technologies (TL)</t>
  </si>
  <si>
    <t>AKW Holdings</t>
  </si>
  <si>
    <t>AKW Holdings | Ascensus | Watchtower Holdings | American Surgical | Athletico</t>
  </si>
  <si>
    <t>AKW Holdings (Term Loan) | Ascensus (Term Loan) | Ascensus (2L Term Loan) | AKW Holdings (Common) | Watchtower Holding (Common Equity)</t>
  </si>
  <si>
    <t>MCR | Paradigm Oral Surgery | Solaris Health | New Gulf Resources</t>
  </si>
  <si>
    <t>MCR (Term Loan) | MCR (Term Loan) | MCR (Term Loan) | MCR (Term Loan) | Paradigm Oral Surgery (Term Loan)</t>
  </si>
  <si>
    <t>Boss Industries | DermaRite | ECM Industries | AFC Acquisitions | BBB Industries</t>
  </si>
  <si>
    <t>AFC Industries (DDTL) | AFC Industries (DDTL) | Boss Industries (Revolver) | Boss Industries (Term Loan) | Boss Industries (Common Equity)</t>
  </si>
  <si>
    <t>48Forty | Watchtower Holdings | American Surgical | AKW Holdings | Ascensus</t>
  </si>
  <si>
    <t>48Forty (Common Equity) | Watchtower Holding (Common Equity) | American Surgical (Preferred Equity) | American Surgical (Preferred Equity) | 48Forty (Term Loan)</t>
  </si>
  <si>
    <t>4Wall Entertainment | AKW Holdings | Ascensus | Watchtower Holdings | American Surgical</t>
  </si>
  <si>
    <t>4Wall Entertainment (Term Loan) | 4Wall Entertainment (DDTL) | AKW Holdings (Term Loan) | Ascensus (Term Loan) | Ascensus (2L Term Loan)</t>
  </si>
  <si>
    <t>Big Top Manufacturing | AKW Holdings | Watchtower Holdings | American Surgical</t>
  </si>
  <si>
    <t>Big Top Manufacturing (Term Loan) | AKW Holdings (Term Loan) | Big Top Manufacturing (Common Equity) | AKW Holdings (Common) | Big Top Manufacturing (Revolver)</t>
  </si>
  <si>
    <t>Integrated Data Services | Big Top Manufacturing | nThrive</t>
  </si>
  <si>
    <t>Integrated Data Services (TL) | Big Top Manufacturing (Term Loan) | Big Top Manufacturing (Common Equity) | nThrive (Senior Common Equity) | nThrive (Senior Common Equity)</t>
  </si>
  <si>
    <t>Radius Aerospace (Term Loan) | MAG Aerospace (TL) | Radius Aerospace (Revolver) | Radius Aerospace (Revolver) | Cadence Aerospace</t>
  </si>
  <si>
    <t>US Fertility (DDTL) | TVC (DDTL) | US Fertility (Term Loan) | TVC (Equity) | TVC (TL)</t>
  </si>
  <si>
    <t>TVC (TL) | TVC (DDTL) | US Fertility (DDTL) | US Fertility (Term Loan) | TVC (Equity)</t>
  </si>
  <si>
    <t>Aeronix | AKW Holdings | Ascensus | Watchtower Holdings | American Surgical</t>
  </si>
  <si>
    <t>Aeronix (TL) | Aeronix (DDTL) | AKW Holdings (Term Loan) | Ascensus (Term Loan) | Ascensus (2L Term Loan)</t>
  </si>
  <si>
    <t>Sabel Systems | Nevada Behavioral Health Systems | Signature Systems Group | MCR</t>
  </si>
  <si>
    <t>Sabel Systems (Common Equity) | Sabel Systems (Term Loan) | Sabel Systems (Revolver) | Nevada Behavioral Health Systems (Term Loan) | Nevada Behavioral Health Systems (Revolver)</t>
  </si>
  <si>
    <t>North American Rail Solutions (Term Loan) | North American Rail Solutions (DDTL) | Velocity Rail Solutions (DDTL) | Velocity Rail Solutions (Term Loan) | American Insulated Glass (Term Loan)</t>
  </si>
  <si>
    <t>STG (First Out New Money Term Loans) | STG (TL) | STG (Second Out Term Loans) | STG (TL) | Plimpton &amp; Hills (TL)</t>
  </si>
  <si>
    <t>4Wall Entertainment (Term Loan) | 4Wall Entertainment (DDTL) | AKW Holdings (Term Loan) | Ascensus (2L Term Loan) | Ascensus (Term Loan)</t>
  </si>
  <si>
    <t>A1 Garage | A2 Garge | Guild Garage Group</t>
  </si>
  <si>
    <t>A1 Garage (Common Equity) | Guild Garage Group (Common Equity) | A1 Garage (DDTL) | A1 Garage (Revolver) | A1 Garage (Term Loan)</t>
  </si>
  <si>
    <t>Beta+ | Altamira | Nuvei | BlueHalo | API Technologies</t>
  </si>
  <si>
    <t>Beta+ (TL) | Beta+ (TL) | Altamira (TL) | Nuvei (Term Loan) | BlueHalo (Term Loan)</t>
  </si>
  <si>
    <t>Sparq | AKW Holdings | Ascensus | Watchtower Holdings | American Surgical</t>
  </si>
  <si>
    <t>Sparq (DDTL) | Sparq (TL) | Sparq (TL) | AKW Holdings (Term Loan) | Ascensus (Term Loan)</t>
  </si>
  <si>
    <t>Comprehensive Rehab Consultants (Term Loan) | Confluent Health (TL) | Confluent Health (Incremental TL) | Confluent Health (DDTL) | Ro Health (Term Loan)</t>
  </si>
  <si>
    <t>Infosoft (Common Equity) | Infosoft (Common Equity) | Engine &amp; Transmission Exchange (Common Equity) | Lilly Lashes (Equity) | Loving Tan (Equity)</t>
  </si>
  <si>
    <t>Planview (TL) | Connatix (Term Loan) | Connatix (DDTL) | Rancho (TL) | Rancho (TL)</t>
  </si>
  <si>
    <t>Federal Advisory Partners | First Medical Associates</t>
  </si>
  <si>
    <t>Federal Advisory Partners (First Lien Term Loan) | First Medical Associates (DDTL) | First Medical Associates (Term Loan) | Federal Advisory Partners (Term Loan) | Federal Advisory Partners (Term Loan)</t>
  </si>
  <si>
    <t>Jones &amp; Frank | AKW Holdings | Ascensus | Watchtower Holdings | American Surgical</t>
  </si>
  <si>
    <t>AKW Holdings (Term Loan) | Jones &amp; Frank (TL) | Ascensus (Term Loan) | Ascensus (2L Term Loan) | AKW Holdings (Common)</t>
  </si>
  <si>
    <t>4Wall Entertainment | ECL Entertainment | Peninsula Pacific Entertainment | Mom And Pop</t>
  </si>
  <si>
    <t>4Wall Entertainment (Term Loan) | 4Wall Entertainment (Revolver) | 4Wall Entertainment (Revolver) | 4Wall Entertainment (DDTL) | ECL Entertainment (Term Loan)</t>
  </si>
  <si>
    <t>Cano Health | Confluent Health | Ro Health | Nevada Behavioral Health Systems</t>
  </si>
  <si>
    <t>Cano Health (Equity) | Cano Health (Equity) | Cano Health (Equity) | Confluent Health (TL) | Confluent Health (Incremental TL)</t>
  </si>
  <si>
    <t>Intellectual Technology</t>
  </si>
  <si>
    <t>Intellectual Technology | Momentum | SpendMend | Watterson</t>
  </si>
  <si>
    <t>Watterson (Revolver) | Intellectual Technology, Inc. (Rev) | Momentum (Revolver) | SpendMend (Revolver) | SpendMend (Revolver)</t>
  </si>
  <si>
    <t>Watchtower | Watchtower Buyer | Watchtower Holdings | Recteq | Vertex</t>
  </si>
  <si>
    <t>Watchtower Buyer (Revolver) | Watchtower (Revolver) | Recteq (Revolver) | Recteq (Revolver) | Recteq (Revolver)</t>
  </si>
  <si>
    <t>Tranzact | Recteq | Vertex | Zips | Gen3 Marketing</t>
  </si>
  <si>
    <t>Tranzact (DDTL) | Tranzact (Term Loan) | Recteq (TL) | Recteq (TL) | Vertex (Term Loan)</t>
  </si>
  <si>
    <t>TransGo | Watchtower Holdings | Manna Pro | AKW Holdings</t>
  </si>
  <si>
    <t>TransGo (Equity) | TransGo (Equity) | Watchtower Holding (Common Equity) | TransGo (TL) | TransGo (Revolver)</t>
  </si>
  <si>
    <t>STG (Second Out Term Loans) | STG (First Out New Money Term Loans) | STG (TL) | STG (TL) | BlackHawk Industrial (Incremental TL)</t>
  </si>
  <si>
    <t>Intellectual Technology, Inc. (Rev)</t>
  </si>
  <si>
    <t>Intellectual Technology | Momentum | SpendMend | Sparq</t>
  </si>
  <si>
    <t>Intellectual Technology, Inc. (Rev) | Momentum (Revolver) | SpendMend (Revolver) | SpendMend (Revolver) | Sparq (Revolver)</t>
  </si>
  <si>
    <t>Infosoft | Lilly Lashes | Loving Tan | Schlesinger | Engine &amp; Transmission Exchange</t>
  </si>
  <si>
    <t>Infosoft (Common Equity) | Infosoft (Common Equity) | Schlesinger (Equity) | Lilly Lashes (Equity) | Loving Tan (Equity)</t>
  </si>
  <si>
    <t>PAR Excellence Holdings, Inc.</t>
  </si>
  <si>
    <t>Recteq | Peninsula Pacific Entertainment | Vertex | ProSearch</t>
  </si>
  <si>
    <t>Recteq (Revolver) | Recteq (Revolver) | Recteq (Revolver) | Vertex (Revolver) | Vertex (Revolver)</t>
  </si>
  <si>
    <t>Athene</t>
  </si>
  <si>
    <t>Athene | Sigma Defense | Federal Advisory Partners | GCOM | Aechelon</t>
  </si>
  <si>
    <t>Aechelon (Common Equity) | Federal Advisory Partners (Common Equity) | Federal Advisory Partners (Common Equity) | Federal Advisory Partners (Common Equity) | GCOM (Common Equity)</t>
  </si>
  <si>
    <t>Connatix (Common Equity) | Rancho (Equity) | Rancho (Equity) | Nsi Industries (Equity) | Nsi Industries (Equity)</t>
  </si>
  <si>
    <t>Rancho (Equity) | Rancho (Equity) | Connatix (Common Equity) | Nsi Industries (Equity) | Nsi Industries (Equity)</t>
  </si>
  <si>
    <t>Tranzact | Watchtower Holdings | American Surgical | AKW Holdings | Ascensus</t>
  </si>
  <si>
    <t>Tranzact (Common Equity) | Watchtower Holding (Common Equity) | American Surgical (Preferred Equity) | American Surgical (Preferred Equity) | Tranzact (DDTL)</t>
  </si>
  <si>
    <t>Tyto Athene | Watchtower Holdings | American Surgical | AKW Holdings | Ascensus</t>
  </si>
  <si>
    <t>Tyto Athene (Equity) | Watchtower Holding (Common Equity) | American Surgical (Preferred Equity) | American Surgical (Preferred Equity) | Tyto Athene (Pref)</t>
  </si>
  <si>
    <t>Tyto Athene (Equity) | American Surgical (Preferred Equity) | American Surgical (Preferred Equity) | Watchtower Holding (Common Equity) | Tyto Athene (Pref)</t>
  </si>
  <si>
    <t>Vertex | Infogroup | Recteq | NORA | RTIC</t>
  </si>
  <si>
    <t>Vertex (Common Equity) | Vertex (Common Equity) | Vertex (Preferred Equity) | Vertex (Preferred Equity) | NORA (Common Equity)</t>
  </si>
  <si>
    <t>Vertex (Preferred Equity) | Vertex (Preferred Equity) | Vertex (Common Equity) | Vertex (Common Equity) | RTIC (Preferred Equity B)</t>
  </si>
  <si>
    <t>Watchtower Holdings | Watchtower | Watchtower Buyer | American Surgical | AKW Holdings</t>
  </si>
  <si>
    <t>Watchtower Holding (Common Equity) | American Surgical (Preferred Equity) | American Surgical (Preferred Equity) | Watchtower (TL) | Watchtower (Revolver)</t>
  </si>
  <si>
    <t>Watchtower Holdings | Watterson | American Surgical | AKW Holdings | Ascensus</t>
  </si>
  <si>
    <t>Watchtower Holding (Common Equity) | Watterson (Equity) | Watterson (Equity) | American Surgical (Preferred Equity) | American Surgical (Preferred Equity)</t>
  </si>
  <si>
    <t xml:space="preserve">Securities result after family </t>
  </si>
  <si>
    <t>Results after adding another query to fetch securities</t>
  </si>
  <si>
    <t>Marketplace Events (CAD Term Loan) | Marketplace Events (USD Term Loan) | Marketplace Events (USD Term Loan) | Marketplace Events (USD Term Loan) | Marketplace Events (USD Term Loan)</t>
  </si>
  <si>
    <t>48Forty (Common Equity) | 48Forty (Term Loan) | 48Forty (Term Loan) | 48Forty (DDTL) | Smartronix / Trident (TL)</t>
  </si>
  <si>
    <t>Ad.net (Term Loan) | Ad.net (Revolver) | Ad.net (Revolver) | Ad.net (Common Equity) | Ad.net (Common Equity)</t>
  </si>
  <si>
    <t>Aechelon (Term Loan) | Intellectual Technology, Inc. (TL) | Sabel Systems (Term Loan) | Aechelon (Common Equity) | Aechelon (Revolver)</t>
  </si>
  <si>
    <t>AFC Industries (DDTL) | AFC Industries (DDTL) | AFC Industries (Common Equity) | AFC Industries (TL) | AFC Industries (TL)</t>
  </si>
  <si>
    <t>AFC Industries (TL) | AFC Industries (TL) | AFC Industries (DDTL) | AFC Industries (DDTL) | AFC Industries (Common Equity)</t>
  </si>
  <si>
    <t>Adweek (Term Loan)</t>
  </si>
  <si>
    <t>Adweek (Term Loan) | Health-E Commerce (Term Loan) | BBB Industries (First Lien Term Loan) | BBB Industries (Second Lien Term Loan) | STG (TL)</t>
  </si>
  <si>
    <t>API Technologies (TL)</t>
  </si>
  <si>
    <t>API Technologies (TL) | BlueHalo (Term Loan) | Nuvei (Term Loan) | Altamira (TL) | Beta+ (TL)</t>
  </si>
  <si>
    <t>BlueHalo (Term Loan) | Global (Term Loan) | Schlesinger (Term Loan) | Schlesinger (Term Loan) | Insight Global (TL)</t>
  </si>
  <si>
    <t>By Light (Term Loan) | By Light (Term Loan) | By Light (DDTL) | By Light (HoldCo Note) | By Light (Equity)</t>
  </si>
  <si>
    <t>Watchtower Buyer (TL)</t>
  </si>
  <si>
    <t>Watchtower Buyer (TL) | Watchtower Buyer (DDTL) | Centauri Health (TL) | Centauri Health (TL) | Centauri Health (Revolver)</t>
  </si>
  <si>
    <t>TPCN (DDTL)</t>
  </si>
  <si>
    <t>TPCN (DDTL) | PCS Retirement (DDTL) | Guild Garage Group (DDTL) | Guild Garage Group (Term Loan) | Guild Garage Group (Revolver)</t>
  </si>
  <si>
    <t>Infinity Home Services (DDTL) | Infinity Home Services (DDTL) | Infinity Home Services (DDTL) CAD | Infinity Home Services (Revolver) | Infinity Home Services (Term Loan)</t>
  </si>
  <si>
    <t>APT Healthcare (Term Loan) | APT Healthcare (Term Loan) | Lilly Lashes (TL) | Lilly Lashes (TL) | APT Healthcare (Incr. DDTL)</t>
  </si>
  <si>
    <t>Adweek (Term Loan) | PAR Excellence (Term Loan) | STG (TL) | STG (TL) | Lynx Technologies (TL)</t>
  </si>
  <si>
    <t>MeritDirect (Term Loan) | MeritDirect (Revolver) | MeritDirect (Revolver) | MeritDirect (Common Equity) | MeritDirect (Common Equity)</t>
  </si>
  <si>
    <t>Pragmatic Institute (Common) | Pragmatic Institute (Revolver) | Pragmatic Institute (TL) | Pragmatic Institute (DDTL)</t>
  </si>
  <si>
    <t>Watchtower Buyer (TL) | Connatix (Term Loan) | Aphix (Term Loan) | Watchtower Buyer (DDTL) | Centauri Health (TL)</t>
  </si>
  <si>
    <t>Commercial Fire Protection (Term Loan) | Commercial Fire Protection (DDTL) | Commercial Fire Protection (Revolver) | Commercial Fire Protection (Common Equity)</t>
  </si>
  <si>
    <t>Apex (Term Loan)</t>
  </si>
  <si>
    <t>Apex (Term Loan) | Apex (Term Loan) | Dr. Scholl's (Term Loan) | Dr. Scholl's (Term Loan) | Dr. Scholl's (Term Loan)</t>
  </si>
  <si>
    <t>MCR (Term Loan) | MCR (Term Loan) | MCR (Term Loan) | MCR (Term Loan) | FlexPrint (Term Loan)</t>
  </si>
  <si>
    <t>AFC Industries (DDTL) | AFC Industries (DDTL) | Boss Industries (Term Loan) | ECM Industries (TL) | AFC Industries (TL)</t>
  </si>
  <si>
    <t>48Forty (Common Equity) | Exigo (Common Equity) | Exigo (Common Equity) | Smartronix / Trident (Common Equity) | Smartronix / Trident (Common Equity)</t>
  </si>
  <si>
    <t>Big Top Manufacturing (Term Loan) | Big Top Manufacturing (Revolver) | Big Top Manufacturing (Common Equity) | FlexPrint (Term Loan) | IMIA (Term Loan)</t>
  </si>
  <si>
    <t>BlueHalo (Term Loan) | Global (Term Loan) | Insight Global (TL) | Schlesinger (Term Loan) | Schlesinger (Term Loan)</t>
  </si>
  <si>
    <t>Watchtower Buyer (TL) | Watchtower Buyer (DDTL) | Aphix (Term Loan) | Big Top Manufacturing (Term Loan) | Integrated Data Services (TL)</t>
  </si>
  <si>
    <t>KNS (Term Loan) | Adweek (Term Loan) | Health-E Commerce (Term Loan) | STG (TL) | STG (TL)</t>
  </si>
  <si>
    <t>Radius Aerospace (Term Loan) | Radius Aerospace (Revolver) | Radius Aerospace (Revolver) | MAG Aerospace (TL) | Cadence Aerospace</t>
  </si>
  <si>
    <t>Roofed Right America (Term Loan) | Roofed Right America (DDTL 2) | Roofed Right America (DDTL 1) | Roofed Right America (Revolver)</t>
  </si>
  <si>
    <t>TVC (DDTL) | US Fertility (DDTL) | US Fertility (Term Loan) | TVC (Equity) | TVC (TL)</t>
  </si>
  <si>
    <t>US Fertility (Term Loan)</t>
  </si>
  <si>
    <t>US Fertility (Term Loan) | TVC (TL) | TVC (DDTL) | US Fertility (DDTL) | TVC (Equity)</t>
  </si>
  <si>
    <t>Aeronix (TL) | Aeronix (DDTL) | Aeronix (Revolver) | Aeronix (Common Equity)</t>
  </si>
  <si>
    <t>Apex (DDTL III)</t>
  </si>
  <si>
    <t>Apex (DDTL III) | Apex (DDTL III) | Apex (Term Loan) | Apex (Term Loan) | Dr. Scholl's (Term Loan)</t>
  </si>
  <si>
    <t>Kentucky Downs (DDTL A) | Kentucky Downs (DDTL A) | FlexPrint (DDTL) | FlexPrint (DDTL) | A1 Garage (DDTL)</t>
  </si>
  <si>
    <t>North American Rail Solutions (Term Loan) | North American Rail Solutions (Revolver) | North American Rail Solutions (DDTL) | Velocity Rail Solutions (Term Loan) | American Insulated Glass (Term Loan)</t>
  </si>
  <si>
    <t>STG (First Out New Money Term Loans) | STG (TL) | STG (TL) | Plimpton &amp; Hills (TL) | BlackHawk Industrial (TL)</t>
  </si>
  <si>
    <t>Zips (Term Loan) | Zips (New OpCo Term Loan) | Zips (Rollup DIP Term Loan) | Zips (New Money DIP Term Loan) | Zips (DDTL)</t>
  </si>
  <si>
    <t>A1 Garage (Common Equity) | Guild Garage Group (Common Equity) | A1 Garage (Revolver) | A1 Garage (Revolver) | Juniper (Common Equity)</t>
  </si>
  <si>
    <t>Beta+ (TL) | Beta+ (TL) | API Technologies (TL) | Lynx Technologies (TL) | Nuvei (Term Loan)</t>
  </si>
  <si>
    <t>Sparq (TL) | Sparq (TL) | Sparq (DDTL) | Sparq (Common Equity) | Sparq (Revolver)</t>
  </si>
  <si>
    <t>Confluent Health (TL)</t>
  </si>
  <si>
    <t>Confluent Health (TL) | Ro Health (Term Loan) | Confluent Health (Incremental TL) | Confluent Health (DDTL) | Nevada Behavioral Health Systems (Term Loan)</t>
  </si>
  <si>
    <t>Infosoft (Common Equity) | Infosoft (Common Equity) | Engine &amp; Transmission Exchange (Common Equity) | Schlesinger (Equity) | Lilly Lashes (Equity)</t>
  </si>
  <si>
    <t>360DG (Common Equity)</t>
  </si>
  <si>
    <t>360DG (Common Equity) | 360DG (Common Equity) | Northwinds (Common Equity) | Guild Garage Group (Common Equity) | Seaway (Equity)</t>
  </si>
  <si>
    <t>Connatix (Term Loan)</t>
  </si>
  <si>
    <t>Connatix (Term Loan) | Rosco (Term Loan) | Planview (TL) | Rancho (TL) | Rancho (TL)</t>
  </si>
  <si>
    <t>First Medical Associates (Term Loan)</t>
  </si>
  <si>
    <t>First Medical Associates (Term Loan) | Federal Advisory Partners (First Lien Term Loan) | First Medical Associates (DDTL) | FlexPrint (Term Loan) | IMIA (Term Loan)</t>
  </si>
  <si>
    <t>Infinity Home Services (Revolver) | Infinity Home Services (Term Loan) | Infinity Home Services (Common Equity) | Infinity Home Services (Common Equity) | Infinity Home Services (DDTL)</t>
  </si>
  <si>
    <t>4Wall Entertainment (Revolver) | 4Wall Entertainment (Revolver) | 4Wall Entertainment (Term Loan) | 4Wall Entertainment (DDTL) | ECL Entertainment (Term Loan)</t>
  </si>
  <si>
    <t>Any Hour Services (Revolver)</t>
  </si>
  <si>
    <t>Any Hour Services (Revolver) | Any Hour Services (Term Loan) | Any Hour Services (Common Equity) | Any Hour Services (Common Equity) | Any Hour Services (DDTL)</t>
  </si>
  <si>
    <t>Cano Health (Equity) | Cano Health (Equity) | Cano Health (Equity) | Cano Health (Term Loan) | Cano Health (Term Loan)</t>
  </si>
  <si>
    <t>Dr. Scholl's (Revolver) | Dr. Scholl's (Revolver) | Dr. Scholl's (Term Loan) | Dr. Scholl's (Term Loan) | Dr. Scholl's (Term Loan)</t>
  </si>
  <si>
    <t>Infinity Home Services (Revolver) | Infinity Home Services (Common Equity) | Infinity Home Services (Common Equity) | Infinity Home Services (Term Loan) | Infinity Home Services (DDTL)</t>
  </si>
  <si>
    <t>KNS (Equity) | KNS (Revolver) | KNS (Revolver) | KNS (Term Loan)</t>
  </si>
  <si>
    <t>Recteq (Equity) | Recteq (Equity) | Recteq (Equity) | Recteq (Revolver) | Recteq (Revolver)</t>
  </si>
  <si>
    <t>Watterson (Revolver) | Recteq (Revolver) | Recteq (Revolver) | Recteq (Revolver) | Vertex (Revolver)</t>
  </si>
  <si>
    <t>Watchtower Buyer (Revolver) | Watchtower (Revolver) | Watchtower Buyer (TL) | Watchtower Buyer (DDTL) | Connatix (Revolver)</t>
  </si>
  <si>
    <t>Tranzact (Term Loan) | Connatix (Term Loan) | Painters Supply and Equipment (Term Loan) | Sparq (TL) | Sparq (TL)</t>
  </si>
  <si>
    <t>TransGo (Equity) | TransGo (Equity) | DecoPac (Equity) | Juniper (Common Equity) | Summit Companies (Common Equity)</t>
  </si>
  <si>
    <t>STG (Second Out Term Loans) | STG (First Out New Money Term Loans) | STG (TL) | STG (TL) | Recteq (TL)</t>
  </si>
  <si>
    <t>Recteq (Revolver) | Recteq (Revolver) | Recteq (Revolver) | Sparq (Revolver) | Vertex (Revolver)</t>
  </si>
  <si>
    <t>Schlesinger (Equity) | Infosoft (Common Equity) | Infosoft (Common Equity) | Engine &amp; Transmission Exchange (Common Equity) | TVC (Equity)</t>
  </si>
  <si>
    <t>KNS (Revolver) | KNS (Revolver) | LifePort (Revolver) | LifePort (Revolver) | ProSearch (Revolver)</t>
  </si>
  <si>
    <t>Aechelon (Common Equity) | GCOM (Common Equity) | GCOM (Common Equity) | Federal Advisory Partners (Common Equity) | Federal Advisory Partners (Common Equity)</t>
  </si>
  <si>
    <t>C5MI (Preferred Equity) | DecoPac (Equity) | C5MI (Common Equity) | Juniper (Common Equity) | Carnegie Dartlet (Common Equity)</t>
  </si>
  <si>
    <t>Connatix (Common Equity) | Rosco (Common Equity) | Rancho (Equity) | Rancho (Equity) | Nsi Industries (Equity)</t>
  </si>
  <si>
    <t>Vertex (Common Equity) | Vertex (Common Equity) | Connatix (Common Equity) | Rosco (Common Equity) | Rancho (Equity)</t>
  </si>
  <si>
    <t>Vertex (Preferred Equity) | Vertex (Preferred Equity) | Rancho (Equity) | Rancho (Equity) | Vertex (Common Equity)</t>
  </si>
  <si>
    <t>Watchtower Holding (Common Equity) | Watchtower (TL) | Watchtower (Revolver) | Watchtower (DDTL) | Watchtower Buyer (DDTL)</t>
  </si>
  <si>
    <t>We aren't matching securities for master ratings</t>
  </si>
  <si>
    <t>360DG (Term Loan) | Marketplace Events (USD Term Loan) | 360DG (DDTL B) | 360DG (DDTL A) | Marketplace Events (DDTL)</t>
  </si>
  <si>
    <t>48Forty (Common Equity) | 48Forty (Term Loan) | Smartronix / Trident (TL) | Douglas (Term Loan) | Engine &amp; Transmission Exchange (Term Loan)</t>
  </si>
  <si>
    <t>Ad.net (Term Loan) | Ad.net (Revolver) | Ad.net (Common Equity) | Ad.net (Preferred Equity) | Arcfield (Term Loan)</t>
  </si>
  <si>
    <t>Aechelon (Term Loan) | Aechelon (Common Equity) | Aechelon (Revolver) | Intellectual Technology, Inc. (TL) | Sabel Systems (Term Loan)</t>
  </si>
  <si>
    <t>AFC Industries (DDTL) | AFC Industries (Common Equity) | AFC Industries (TL)</t>
  </si>
  <si>
    <t>AFC Industries (TL) | AFC Industries (DDTL) | AFC Industries (Common Equity)</t>
  </si>
  <si>
    <t>BBB Industries (First Lien Term Loan) | BBB Industries (Second Lien Term Loan) | Adweek (Term Loan) | Health-E Commerce (Term Loan) | STG (TL)</t>
  </si>
  <si>
    <t>BlueHalo (Term Loan) | API Technologies (TL) | Nuvei (Term Loan) | Altamira (TL) | Beta+ (TL)</t>
  </si>
  <si>
    <t>Global (Term Loan)</t>
  </si>
  <si>
    <t>Global (Term Loan) | Schlesinger (DDTL) | BlueHalo (Term Loan) | Schlesinger (Term Loan) | Insight Global (TL)</t>
  </si>
  <si>
    <t>By Light (Term Loan) | By Light (DDTL) | By Light (Revolver) | By Light (HoldCo Note) | By Light (Equity)</t>
  </si>
  <si>
    <t>Centauri Health (TL) | Centauri Health (DDTL) | Centauri Health (Revolver) | Connatix (DDTL) | Watchtower Buyer (TL)</t>
  </si>
  <si>
    <t>Dr. Squatch (Term Loan) | Dr. Squatch (DDTL) | Dr. Squatch (Revolver) | Dr. Scholl's (Term Loan) | Dr. Scholl's (Revolver)</t>
  </si>
  <si>
    <t>Guild Garage Group (DDTL) | Guild Garage Group (Term Loan) | Guild Garage Group (Revolver) | TPCN (DDTL) | PCS Retirement (DDTL)</t>
  </si>
  <si>
    <t>Infinity Home Services (DDTL) | Infinity Home Services (DDTL) CAD | Infinity Home Services (Term Loan) | Infinity Home Services (Common Equity) | Infinity Home Services (Revolver)</t>
  </si>
  <si>
    <t>Lilly Lashes (TL) | Lilly Lashes (Revolver) | APT Healthcare (Term Loan) | APT Healthcare (Incr. DDTL) | Lilly Lashes (Equity)</t>
  </si>
  <si>
    <t>Lynx Technologies (TL) | Lynx Technologies (Revolver) | Lynx Technologies (Common Equity) | Adweek (Term Loan) | PAR Excellence (Term Loan)</t>
  </si>
  <si>
    <t>MeritDirect (Term Loan) | MeritDirect (Common Equity) | MeritDirect (Preferred Equity) | MeritDirect (Revolver)</t>
  </si>
  <si>
    <t>MeritDirect (Term Loan) | MeritDirect (Revolver) | MeritDirect (Common Equity) | MeritDirect (Preferred Equity)</t>
  </si>
  <si>
    <t>OSG (Common Equity) | OSG (TL) | OSG (DDTL) | Epiq (TL) | Epiq (Revolver)</t>
  </si>
  <si>
    <t>Pragmatic Institute (TL) | Pragmatic Institute (Revolver) | Pragmatic Institute (DDTL) | Pragmatic Institute (Common)</t>
  </si>
  <si>
    <t>Centauri Health (DDTL) | Centauri Health (TL) | Connatix (DDTL) | Centauri Health (Revolver) | Watchtower Buyer (TL)</t>
  </si>
  <si>
    <t>Dr. Scholl's (Term Loan) | Apex (DDTL III) | Dr. Scholl's (Revolver) | API Technologies (TL) | Apex (Term Loan C)</t>
  </si>
  <si>
    <t>MCR (Term Loan) | MCR (Revolver) | Research Horizons (DDTL) | IMIA (Term Loan) | Paradigm Oral Surgery (DDTL)</t>
  </si>
  <si>
    <t>APT Healthcare (Term Loan) | APT Healthcare (Common Equity) | APT Healthcare (Incr. DDTL) | APT Healthcare (Revolver) | Lilly Lashes (Equity)</t>
  </si>
  <si>
    <t>AFC Industries (DDTL) | Boss Industries (Term Loan) | ECM Industries (TL) | AFC Industries (TL) | BBB Industries (First Lien Term Loan)</t>
  </si>
  <si>
    <t>48Forty (Common Equity) | 48Forty (Term Loan) | Exigo (Common Equity) | Smartronix / Trident (Common Equity) | Engine &amp; Transmission Exchange (Common Equity)</t>
  </si>
  <si>
    <t>4Wall Entertainment (DDTL) | 4Wall Entertainment (Term Loan) | 4Wall Entertainment (Revolver)</t>
  </si>
  <si>
    <t>Big Top Manufacturing (Term Loan) | Big Top Manufacturing (Revolver) | Big Top Manufacturing (Common Equity) | IMIA (Term Loan) | DBI (Term Loan B)</t>
  </si>
  <si>
    <t>Schlesinger (DDTL)</t>
  </si>
  <si>
    <t>Schlesinger (DDTL) | BlueHalo (Term Loan) | Global (Term Loan) | Insight Global (TL) | Schlesinger (Term Loan)</t>
  </si>
  <si>
    <t>Integrated Data Services (TL) | Integrated Data Services (Rev) | Watchtower Buyer (TL) | Watchtower Buyer (DDTL) | Aphix (Term Loan)</t>
  </si>
  <si>
    <t>KNS (Term Loan) | Adweek (Term Loan) | Health-E Commerce (Term Loan) | STG (TL) | Adweek (DDTL)</t>
  </si>
  <si>
    <t>Radius Aerospace (Term Loan) | Radius Aerospace (Revolver) | MAG Aerospace (TL) | Cadence Aerospace</t>
  </si>
  <si>
    <t>TVC (DDTL) | US Fertility (Term Loan) | TVC (TL) | US Fertility (DDTL) | TVC (Equity)</t>
  </si>
  <si>
    <t>Aeronix (DDTL) | Aeronix (Common Equity) | Aeronix (TL) | Aeronix (Revolver)</t>
  </si>
  <si>
    <t>Dr. Scholl's (Term Loan) | Apex (DDTL III) | Dr. Scholl's (Revolver) | Wheel Pros (1L) | Apex (Term Loan)</t>
  </si>
  <si>
    <t>Kentucky Downs (DDTL A) | Research Horizons (DDTL) | Kentucky Downs (DDTL B) | FlexPrint (DDTL) | MCR (Term Loan)</t>
  </si>
  <si>
    <t>North American Rail Solutions (Term Loan) | North American Rail Solutions (Revolver) | North American Rail Solutions (DDTL) | American Insulated Glass (DDTL) | Velocity Rail Solutions (Term Loan)</t>
  </si>
  <si>
    <t>STG (First Out New Money Term Loans) | STG (TL) | Plimpton &amp; Hills (TL) | BlackHawk Industrial (TL) | WhiteHawk Industrial (TL)</t>
  </si>
  <si>
    <t>A1 Garage (Common Equity) | A1 Garage (Revolver) | A1 Garage (Term Loan) | A1 Garage (DDTL) | Guild Garage Group (Common Equity)</t>
  </si>
  <si>
    <t>Beta+ (TL) | API Technologies (TL) | Lynx Technologies (TL) | Nuvei (Term Loan) | Altamira (TL)</t>
  </si>
  <si>
    <t>Sparq (TL) | Sparq (DDTL) | Sparq (Common Equity) | Sparq (Revolver)</t>
  </si>
  <si>
    <t>BiggerPockets (Revolver) | BiggerPockets (TL) | BiggerPockets (Common Equity)</t>
  </si>
  <si>
    <t>Carnegie Dartlet (DDTL) | Carnegie Dartlet (Term Loan) | Carnegie Dartlet (Revolver) | Carnegie Dartlet (Common Equity)</t>
  </si>
  <si>
    <t>Comprehensive Rehab Consultants (Term Loan) | Comprehensive Rehab Consultants (Revolver) | Comprehensive Rehab Consultants (Common Equity) | Confluent Health (DDTL) | Confluent Health (TL)</t>
  </si>
  <si>
    <t>Engine &amp; Transmission Exchange (Common Equity) | Engine &amp; Transmission Exchange (Promissory Note) | Infosoft (Common Equity) | Schlesinger (Equity) | Lilly Lashes (Equity)</t>
  </si>
  <si>
    <t>Seaway (Equity) | Epiq (Common) | 360DG (Common Equity) | Northwinds (Common Equity) | Guild Garage Group (Common Equity)</t>
  </si>
  <si>
    <t>Connatix (Term Loan) | Rosco (Term Loan) | Planview (TL) | Rancho (TL) | Connatix (DDTL)</t>
  </si>
  <si>
    <t>Federal Advisory Partners (First Lien Term Loan) | Federal Advisory Partners (Term Loan) | Federal Advisory Partners (Revolver) | First Medical Associates (Term Loan) | Country Fresh (Interim Bridge DDTL)</t>
  </si>
  <si>
    <t>Jones &amp; Frank (TL) | Jones &amp; Frank (Common) | Jones &amp; Frank (Preferred) | Jones &amp; Frank (Series B)</t>
  </si>
  <si>
    <t>4Wall Entertainment (Revolver) | 4Wall Entertainment (Term Loan) | 4Wall Entertainment (DDTL) | ECL Entertainment (Term Loan) | Peninsula Pacific Entertainment (Term Loan B)</t>
  </si>
  <si>
    <t>Any Hour Services (Term Loan) | Any Hour Services (Revolver) | Any Hour Services (Common Equity) | Any Hour Services (DDTL) | Any Hour Services (DDTL II)</t>
  </si>
  <si>
    <t>Cano Health (Term Loan) | Cano Health (Equity) | Ro Health (Revolver) | Confluent Health (TL) | Ro Health (Term Loan)</t>
  </si>
  <si>
    <t>Dr. Scholl's (Revolver) | Dr. Scholl's (Term Loan) | Dr. Squatch (Term Loan) | Dr. Squatch (Revolver) | Dr. Squatch (DDTL)</t>
  </si>
  <si>
    <t>Watterson (TL) | Watterson (Equity) | Watterson (Revolver) | Watterson (DDTL)</t>
  </si>
  <si>
    <t>Watchtower Buyer | Watchtower | Watchtower Holdings | APHIX | Carisk Partners</t>
  </si>
  <si>
    <t>Watchtower Buyer (Revolver) | Watchtower Buyer (TL) | Watchtower Buyer (DDTL) | Watchtower (Revolver) | Watchtower (TL)</t>
  </si>
  <si>
    <t>Tranzact | Watchtower Buyer | APHIX | Carisk Partners | Connatix</t>
  </si>
  <si>
    <t>Tranzact (DDTL) | Tranzact (Revolver) | Tranzact (Term Loan) | Tranzact (Common Equity) | Watchtower Buyer (Revolver)</t>
  </si>
  <si>
    <t>TransGo (Revolver)</t>
  </si>
  <si>
    <t>TransGo (Revolver) | TransGo (TL) | TransGo (Equity)</t>
  </si>
  <si>
    <t>Plimpton &amp; Hills (TL)</t>
  </si>
  <si>
    <t>Plimpton &amp; Hills (TL) | Plimpton &amp; Hills (DDTL) | BlackHawk Industrial (Incremental TL) | BlackHawk Industrial (TL) | WhiteHawk Industrial (TL)</t>
  </si>
  <si>
    <t>Sparq (TL) | Sparq (Common Equity) | Sparq (DDTL) | Sparq (Revolver)</t>
  </si>
  <si>
    <t>Schlesinger (Term Loan)</t>
  </si>
  <si>
    <t>Schlesinger | Global | Insight Global | UniTek | Premiere Global Services (PGi)</t>
  </si>
  <si>
    <t>Schlesinger (Term Loan) | Schlesinger (Revolver) | Schlesinger (DDTL) | Schlesinger (Equity) | Global (Term Loan)</t>
  </si>
  <si>
    <t>ProSearch | Peninsula Pacific Entertainment | | STG Logistics | Adweek</t>
  </si>
  <si>
    <t>ProSearch (TL) | ProSearch (Revolver) | ProSearch (DDTL) | Peninsula Pacific Entertainment (Term Loan B) | Peninsula Pacific Entertainment (DDTL B)</t>
  </si>
  <si>
    <t>Aechelon (Revolver)</t>
  </si>
  <si>
    <t>Aechelon (Revolver) | Aechelon (Common Equity) | Aechelon (Term Loan) | Sabel Systems (Term Loan) | Sabel Systems (Revolver)</t>
  </si>
  <si>
    <t>BiggerPockets (TL)</t>
  </si>
  <si>
    <t>BiggerPockets (TL) | BiggerPockets (Revolver) | BiggerPockets (Common Equity)</t>
  </si>
  <si>
    <t>C5MI (Revolver)</t>
  </si>
  <si>
    <t>C5MI | Arcfield | Duggal Visual Solutions | GCOM | MOREgroup</t>
  </si>
  <si>
    <t>C5MI (Revolver) | C5MI (Term Loan) | C5MI (Common Equity) | C5MI (Preferred Equity) | Arcfield (Term Loan)</t>
  </si>
  <si>
    <t>Connatix | Watchtower Buyer | APHIX | Carisk Partners | Epiq</t>
  </si>
  <si>
    <t>Connatix (Term Loan) | Connatix (Revolver) | Connatix (DDTL) | Connatix (Common Equity) | Watchtower Buyer (Revolver)</t>
  </si>
  <si>
    <t>Rancho (TL)</t>
  </si>
  <si>
    <t>Rancho Medical | Confluent Health | Ro Health | Cano Health | Nevada Behavioral Health Systems</t>
  </si>
  <si>
    <t>Rancho (TL) | Rancho (Revolver) | Rancho (DDTL) | Ro Health (Revolver) | Confluent Health (TL)</t>
  </si>
  <si>
    <t>Tyto Athene (Term Loan)</t>
  </si>
  <si>
    <t>Tyto Athene | Athene</t>
  </si>
  <si>
    <t>Tyto Athene (Term Loan) | Tyto Athene (Revolver) | Tyto Athene (Equity) | Tyto Athene (Pref) | Athene (Equity)</t>
  </si>
  <si>
    <t>Vertex (Term Loan)</t>
  </si>
  <si>
    <t>Vertex (Term Loan) | Vertex (Revolver) | Vertex (DDTL) | Vertex (Common Equity) | Vertex (Preferred 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</si>
</sst>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rgb="FFFFFFFF"/>
      <name val="Calibri"/>
      <family val="2"/>
      <scheme val="minor"/>
    </font>
    <font>
      <sz val="11"/>
      <color rgb="FFFF0000"/>
      <name val="Calibri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1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2" xfId="0" applyFont="1" applyBorder="1" applyAlignment="1">
      <alignment readingOrder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0" borderId="13" xfId="0" applyFont="1" applyBorder="1" applyAlignment="1">
      <alignment readingOrder="1"/>
    </xf>
    <xf numFmtId="0" fontId="4" fillId="0" borderId="14" xfId="0" applyFont="1" applyBorder="1" applyAlignment="1">
      <alignment readingOrder="1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0" fontId="3" fillId="0" borderId="8" xfId="0" applyFont="1" applyBorder="1" applyAlignment="1">
      <alignment horizontal="left" readingOrder="1"/>
    </xf>
    <xf numFmtId="0" fontId="5" fillId="4" borderId="15" xfId="0" applyFont="1" applyFill="1" applyBorder="1"/>
    <xf numFmtId="0" fontId="0" fillId="0" borderId="15" xfId="0" applyBorder="1"/>
    <xf numFmtId="0" fontId="1" fillId="5" borderId="15" xfId="0" applyFont="1" applyFill="1" applyBorder="1"/>
    <xf numFmtId="0" fontId="0" fillId="0" borderId="15" xfId="0" applyBorder="1" applyAlignment="1">
      <alignment horizontal="center"/>
    </xf>
    <xf numFmtId="10" fontId="0" fillId="0" borderId="15" xfId="0" applyNumberFormat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10" fontId="1" fillId="5" borderId="15" xfId="0" applyNumberFormat="1" applyFont="1" applyFill="1" applyBorder="1" applyAlignment="1">
      <alignment horizontal="center"/>
    </xf>
    <xf numFmtId="10" fontId="0" fillId="2" borderId="0" xfId="0" applyNumberFormat="1" applyFill="1"/>
    <xf numFmtId="0" fontId="3" fillId="6" borderId="7" xfId="0" applyFont="1" applyFill="1" applyBorder="1" applyAlignment="1">
      <alignment readingOrder="1"/>
    </xf>
    <xf numFmtId="0" fontId="3" fillId="6" borderId="8" xfId="0" applyFont="1" applyFill="1" applyBorder="1" applyAlignment="1">
      <alignment readingOrder="1"/>
    </xf>
    <xf numFmtId="0" fontId="3" fillId="6" borderId="9" xfId="0" applyFont="1" applyFill="1" applyBorder="1" applyAlignment="1">
      <alignment readingOrder="1"/>
    </xf>
    <xf numFmtId="0" fontId="6" fillId="0" borderId="0" xfId="0" applyFont="1"/>
    <xf numFmtId="0" fontId="3" fillId="7" borderId="7" xfId="0" applyFont="1" applyFill="1" applyBorder="1" applyAlignment="1">
      <alignment readingOrder="1"/>
    </xf>
    <xf numFmtId="0" fontId="3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9" fontId="0" fillId="0" borderId="0" xfId="0" applyNumberFormat="1"/>
    <xf numFmtId="49" fontId="7" fillId="0" borderId="0" xfId="0" applyNumberFormat="1" applyFont="1"/>
    <xf numFmtId="0" fontId="7" fillId="0" borderId="0" xfId="1" applyFont="1" applyAlignment="1">
      <alignment horizontal="left"/>
    </xf>
    <xf numFmtId="49" fontId="9" fillId="0" borderId="0" xfId="0" applyNumberFormat="1" applyFont="1"/>
    <xf numFmtId="0" fontId="9" fillId="0" borderId="0" xfId="1" applyFont="1" applyAlignment="1">
      <alignment horizontal="left"/>
    </xf>
    <xf numFmtId="0" fontId="4" fillId="0" borderId="5" xfId="0" applyFont="1" applyBorder="1" applyAlignment="1">
      <alignment readingOrder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C65B3B4D-12D9-4589-9F6A-7ACC1C9B2F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EF12-A8A2-4A08-8D24-1D9D2C548C03}">
  <dimension ref="A1:Q96"/>
  <sheetViews>
    <sheetView zoomScale="80" zoomScaleNormal="80" workbookViewId="0">
      <pane ySplit="1" topLeftCell="Q54" activePane="bottomLeft" state="frozen"/>
      <selection pane="bottomLeft" activeCell="G101" sqref="G101"/>
    </sheetView>
  </sheetViews>
  <sheetFormatPr defaultRowHeight="15"/>
  <cols>
    <col min="1" max="1" width="28.7109375" customWidth="1"/>
    <col min="2" max="2" width="24.5703125" bestFit="1" customWidth="1"/>
    <col min="3" max="3" width="26.140625" customWidth="1"/>
    <col min="4" max="4" width="23.28515625" bestFit="1" customWidth="1"/>
    <col min="5" max="5" width="14.140625" customWidth="1"/>
    <col min="6" max="6" width="33.28515625" customWidth="1"/>
    <col min="7" max="7" width="22.28515625" customWidth="1"/>
    <col min="8" max="8" width="18.140625" bestFit="1" customWidth="1"/>
    <col min="9" max="9" width="6.28515625" customWidth="1"/>
    <col min="10" max="10" width="5.85546875" customWidth="1"/>
    <col min="11" max="11" width="6.85546875" customWidth="1"/>
    <col min="12" max="12" width="16.28515625" customWidth="1"/>
    <col min="13" max="13" width="12.5703125" customWidth="1"/>
    <col min="14" max="14" width="16.5703125" customWidth="1"/>
    <col min="15" max="15" width="14.28515625" customWidth="1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 t="s">
        <v>22</v>
      </c>
      <c r="L2" t="s">
        <v>23</v>
      </c>
      <c r="M2" t="s">
        <v>24</v>
      </c>
      <c r="N2" t="s">
        <v>25</v>
      </c>
    </row>
    <row r="3" spans="1:16">
      <c r="A3" t="s">
        <v>26</v>
      </c>
      <c r="B3" t="s">
        <v>27</v>
      </c>
      <c r="C3" t="s">
        <v>28</v>
      </c>
      <c r="D3" t="s">
        <v>19</v>
      </c>
      <c r="E3" t="s">
        <v>20</v>
      </c>
      <c r="F3" t="s">
        <v>29</v>
      </c>
      <c r="G3" t="s">
        <v>30</v>
      </c>
      <c r="L3" t="s">
        <v>23</v>
      </c>
      <c r="M3" t="s">
        <v>24</v>
      </c>
      <c r="N3" t="s">
        <v>31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20</v>
      </c>
      <c r="F4" t="s">
        <v>32</v>
      </c>
      <c r="G4" t="s">
        <v>35</v>
      </c>
      <c r="H4" t="s">
        <v>22</v>
      </c>
      <c r="I4" t="s">
        <v>36</v>
      </c>
      <c r="L4" t="s">
        <v>23</v>
      </c>
      <c r="M4" t="s">
        <v>24</v>
      </c>
      <c r="N4" t="s">
        <v>31</v>
      </c>
    </row>
    <row r="5" spans="1:16">
      <c r="A5" t="s">
        <v>37</v>
      </c>
      <c r="B5" t="s">
        <v>38</v>
      </c>
      <c r="C5" t="s">
        <v>39</v>
      </c>
      <c r="D5" t="s">
        <v>19</v>
      </c>
      <c r="E5" t="s">
        <v>20</v>
      </c>
      <c r="F5" t="s">
        <v>37</v>
      </c>
      <c r="G5" t="s">
        <v>40</v>
      </c>
      <c r="H5" t="s">
        <v>22</v>
      </c>
      <c r="L5" t="s">
        <v>23</v>
      </c>
      <c r="M5" t="s">
        <v>24</v>
      </c>
      <c r="N5" t="s">
        <v>31</v>
      </c>
    </row>
    <row r="6" spans="1:16">
      <c r="A6" t="s">
        <v>41</v>
      </c>
      <c r="B6" t="s">
        <v>42</v>
      </c>
      <c r="C6" t="s">
        <v>43</v>
      </c>
      <c r="D6" t="s">
        <v>44</v>
      </c>
      <c r="E6" t="s">
        <v>20</v>
      </c>
      <c r="F6" t="s">
        <v>45</v>
      </c>
      <c r="G6" t="s">
        <v>46</v>
      </c>
      <c r="H6" t="s">
        <v>47</v>
      </c>
      <c r="I6" t="s">
        <v>48</v>
      </c>
      <c r="L6" t="s">
        <v>23</v>
      </c>
      <c r="M6" t="s">
        <v>24</v>
      </c>
      <c r="N6" t="s">
        <v>49</v>
      </c>
    </row>
    <row r="7" spans="1:16">
      <c r="A7" t="s">
        <v>41</v>
      </c>
      <c r="B7" t="s">
        <v>42</v>
      </c>
      <c r="C7" t="s">
        <v>50</v>
      </c>
      <c r="D7" t="s">
        <v>19</v>
      </c>
      <c r="E7" t="s">
        <v>20</v>
      </c>
      <c r="F7" t="s">
        <v>45</v>
      </c>
      <c r="G7" t="s">
        <v>51</v>
      </c>
      <c r="H7" t="s">
        <v>22</v>
      </c>
      <c r="I7" t="s">
        <v>52</v>
      </c>
      <c r="L7" t="s">
        <v>23</v>
      </c>
      <c r="M7" t="s">
        <v>24</v>
      </c>
      <c r="N7" t="s">
        <v>49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20</v>
      </c>
      <c r="F8" t="s">
        <v>53</v>
      </c>
      <c r="G8" t="s">
        <v>56</v>
      </c>
      <c r="H8" t="s">
        <v>22</v>
      </c>
      <c r="I8" t="s">
        <v>57</v>
      </c>
      <c r="L8" t="s">
        <v>23</v>
      </c>
      <c r="M8" t="s">
        <v>24</v>
      </c>
      <c r="N8" t="s">
        <v>25</v>
      </c>
    </row>
    <row r="9" spans="1:16">
      <c r="A9" t="s">
        <v>58</v>
      </c>
      <c r="B9" t="s">
        <v>59</v>
      </c>
      <c r="C9" t="s">
        <v>60</v>
      </c>
      <c r="D9" t="s">
        <v>44</v>
      </c>
      <c r="E9" t="s">
        <v>20</v>
      </c>
      <c r="F9" t="s">
        <v>61</v>
      </c>
      <c r="G9" t="s">
        <v>62</v>
      </c>
      <c r="H9" t="s">
        <v>47</v>
      </c>
      <c r="L9" t="s">
        <v>23</v>
      </c>
      <c r="M9" t="s">
        <v>24</v>
      </c>
      <c r="N9" t="s">
        <v>25</v>
      </c>
    </row>
    <row r="10" spans="1:16">
      <c r="A10" t="s">
        <v>63</v>
      </c>
      <c r="B10" t="s">
        <v>64</v>
      </c>
      <c r="C10" t="s">
        <v>65</v>
      </c>
      <c r="D10" t="s">
        <v>19</v>
      </c>
      <c r="E10" t="s">
        <v>20</v>
      </c>
      <c r="F10" t="s">
        <v>66</v>
      </c>
      <c r="G10" t="s">
        <v>67</v>
      </c>
      <c r="H10" t="s">
        <v>22</v>
      </c>
      <c r="L10" t="s">
        <v>23</v>
      </c>
      <c r="M10" t="s">
        <v>24</v>
      </c>
      <c r="N10" t="s">
        <v>31</v>
      </c>
    </row>
    <row r="11" spans="1:16">
      <c r="A11" t="s">
        <v>68</v>
      </c>
      <c r="B11" t="s">
        <v>69</v>
      </c>
      <c r="C11" t="s">
        <v>70</v>
      </c>
      <c r="D11" t="s">
        <v>19</v>
      </c>
      <c r="E11" t="s">
        <v>20</v>
      </c>
      <c r="F11" t="s">
        <v>71</v>
      </c>
      <c r="G11" t="s">
        <v>72</v>
      </c>
      <c r="H11" t="s">
        <v>22</v>
      </c>
      <c r="I11" t="s">
        <v>73</v>
      </c>
      <c r="L11" t="s">
        <v>23</v>
      </c>
      <c r="M11" t="s">
        <v>24</v>
      </c>
      <c r="N11" t="s">
        <v>25</v>
      </c>
    </row>
    <row r="12" spans="1:16">
      <c r="A12" t="s">
        <v>68</v>
      </c>
      <c r="B12" t="s">
        <v>69</v>
      </c>
      <c r="C12" t="s">
        <v>70</v>
      </c>
      <c r="D12" t="s">
        <v>19</v>
      </c>
      <c r="E12" t="s">
        <v>20</v>
      </c>
      <c r="F12" t="s">
        <v>74</v>
      </c>
      <c r="G12" t="s">
        <v>75</v>
      </c>
      <c r="H12" t="s">
        <v>22</v>
      </c>
      <c r="I12" t="s">
        <v>73</v>
      </c>
      <c r="L12" t="s">
        <v>23</v>
      </c>
      <c r="M12" t="s">
        <v>24</v>
      </c>
      <c r="N12" t="s">
        <v>31</v>
      </c>
    </row>
    <row r="13" spans="1:16">
      <c r="A13" t="s">
        <v>76</v>
      </c>
      <c r="B13" t="s">
        <v>77</v>
      </c>
      <c r="C13" t="s">
        <v>78</v>
      </c>
      <c r="D13" t="s">
        <v>79</v>
      </c>
      <c r="E13" t="s">
        <v>20</v>
      </c>
      <c r="F13" t="s">
        <v>80</v>
      </c>
      <c r="G13" t="s">
        <v>81</v>
      </c>
      <c r="H13" t="s">
        <v>82</v>
      </c>
      <c r="L13" t="s">
        <v>23</v>
      </c>
      <c r="M13" t="s">
        <v>24</v>
      </c>
      <c r="N13" t="s">
        <v>31</v>
      </c>
    </row>
    <row r="14" spans="1:16">
      <c r="A14" t="s">
        <v>83</v>
      </c>
      <c r="B14" t="s">
        <v>84</v>
      </c>
      <c r="C14" t="s">
        <v>85</v>
      </c>
      <c r="D14" t="s">
        <v>79</v>
      </c>
      <c r="E14" t="s">
        <v>20</v>
      </c>
      <c r="F14" t="s">
        <v>86</v>
      </c>
      <c r="G14" t="s">
        <v>87</v>
      </c>
      <c r="H14" t="s">
        <v>82</v>
      </c>
      <c r="L14" t="s">
        <v>23</v>
      </c>
      <c r="M14" t="s">
        <v>24</v>
      </c>
      <c r="N14" t="s">
        <v>25</v>
      </c>
    </row>
    <row r="15" spans="1:16">
      <c r="A15" t="s">
        <v>88</v>
      </c>
      <c r="B15" t="s">
        <v>89</v>
      </c>
      <c r="C15" t="s">
        <v>90</v>
      </c>
      <c r="D15" t="s">
        <v>19</v>
      </c>
      <c r="E15" t="s">
        <v>20</v>
      </c>
      <c r="F15" t="s">
        <v>91</v>
      </c>
      <c r="G15" t="s">
        <v>92</v>
      </c>
      <c r="H15" t="s">
        <v>22</v>
      </c>
      <c r="I15" t="s">
        <v>93</v>
      </c>
      <c r="L15" t="s">
        <v>23</v>
      </c>
      <c r="M15" t="s">
        <v>24</v>
      </c>
      <c r="N15" t="s">
        <v>31</v>
      </c>
    </row>
    <row r="16" spans="1:16">
      <c r="A16" t="s">
        <v>94</v>
      </c>
      <c r="B16" t="s">
        <v>95</v>
      </c>
      <c r="C16" t="s">
        <v>96</v>
      </c>
      <c r="D16" t="s">
        <v>44</v>
      </c>
      <c r="E16" t="s">
        <v>20</v>
      </c>
      <c r="F16" t="s">
        <v>94</v>
      </c>
      <c r="G16" t="s">
        <v>97</v>
      </c>
      <c r="H16" t="s">
        <v>47</v>
      </c>
      <c r="I16" t="s">
        <v>98</v>
      </c>
      <c r="L16" t="s">
        <v>23</v>
      </c>
      <c r="M16" t="s">
        <v>24</v>
      </c>
      <c r="N16" t="s">
        <v>25</v>
      </c>
    </row>
    <row r="17" spans="1:14">
      <c r="A17" t="s">
        <v>99</v>
      </c>
      <c r="B17" t="s">
        <v>100</v>
      </c>
      <c r="C17" t="s">
        <v>101</v>
      </c>
      <c r="D17" t="s">
        <v>44</v>
      </c>
      <c r="E17" t="s">
        <v>20</v>
      </c>
      <c r="F17" t="s">
        <v>102</v>
      </c>
      <c r="G17" t="s">
        <v>103</v>
      </c>
      <c r="H17" t="s">
        <v>47</v>
      </c>
      <c r="I17" t="s">
        <v>104</v>
      </c>
      <c r="L17" t="s">
        <v>23</v>
      </c>
      <c r="M17" t="s">
        <v>24</v>
      </c>
      <c r="N17" t="s">
        <v>31</v>
      </c>
    </row>
    <row r="18" spans="1:14">
      <c r="A18" t="s">
        <v>105</v>
      </c>
      <c r="B18" t="s">
        <v>106</v>
      </c>
      <c r="C18" t="s">
        <v>107</v>
      </c>
      <c r="D18" t="s">
        <v>19</v>
      </c>
      <c r="E18" t="s">
        <v>20</v>
      </c>
      <c r="F18" t="s">
        <v>108</v>
      </c>
      <c r="G18" t="s">
        <v>109</v>
      </c>
      <c r="H18" t="s">
        <v>22</v>
      </c>
      <c r="I18" t="s">
        <v>110</v>
      </c>
      <c r="L18" t="s">
        <v>23</v>
      </c>
      <c r="M18" t="s">
        <v>24</v>
      </c>
      <c r="N18" t="s">
        <v>25</v>
      </c>
    </row>
    <row r="19" spans="1:14">
      <c r="A19" t="s">
        <v>111</v>
      </c>
      <c r="B19" t="s">
        <v>112</v>
      </c>
      <c r="C19" t="s">
        <v>113</v>
      </c>
      <c r="D19" t="s">
        <v>19</v>
      </c>
      <c r="E19" t="s">
        <v>20</v>
      </c>
      <c r="F19" t="s">
        <v>111</v>
      </c>
      <c r="G19" t="s">
        <v>114</v>
      </c>
      <c r="H19" t="s">
        <v>22</v>
      </c>
      <c r="L19" t="s">
        <v>23</v>
      </c>
      <c r="M19" t="s">
        <v>24</v>
      </c>
      <c r="N19" t="s">
        <v>25</v>
      </c>
    </row>
    <row r="20" spans="1:14">
      <c r="A20" t="s">
        <v>115</v>
      </c>
      <c r="B20" t="s">
        <v>116</v>
      </c>
      <c r="C20" t="s">
        <v>117</v>
      </c>
      <c r="D20" t="s">
        <v>19</v>
      </c>
      <c r="E20" t="s">
        <v>20</v>
      </c>
      <c r="F20" t="s">
        <v>118</v>
      </c>
      <c r="G20" t="s">
        <v>119</v>
      </c>
      <c r="H20" t="s">
        <v>22</v>
      </c>
      <c r="I20" t="s">
        <v>120</v>
      </c>
      <c r="L20" t="s">
        <v>23</v>
      </c>
      <c r="M20" t="s">
        <v>24</v>
      </c>
      <c r="N20" t="s">
        <v>25</v>
      </c>
    </row>
    <row r="21" spans="1:14">
      <c r="A21" t="s">
        <v>115</v>
      </c>
      <c r="B21" t="s">
        <v>116</v>
      </c>
      <c r="C21" t="s">
        <v>117</v>
      </c>
      <c r="D21" t="s">
        <v>19</v>
      </c>
      <c r="E21" t="s">
        <v>20</v>
      </c>
      <c r="F21" t="s">
        <v>121</v>
      </c>
      <c r="G21" t="s">
        <v>122</v>
      </c>
      <c r="H21" t="s">
        <v>22</v>
      </c>
      <c r="I21" t="s">
        <v>123</v>
      </c>
      <c r="L21" t="s">
        <v>23</v>
      </c>
      <c r="M21" t="s">
        <v>24</v>
      </c>
      <c r="N21" t="s">
        <v>31</v>
      </c>
    </row>
    <row r="22" spans="1:14">
      <c r="A22" t="s">
        <v>124</v>
      </c>
      <c r="B22" t="s">
        <v>125</v>
      </c>
      <c r="C22" t="s">
        <v>126</v>
      </c>
      <c r="D22" t="s">
        <v>127</v>
      </c>
      <c r="E22" t="s">
        <v>127</v>
      </c>
      <c r="F22" t="s">
        <v>128</v>
      </c>
      <c r="G22" t="s">
        <v>128</v>
      </c>
      <c r="L22" t="s">
        <v>23</v>
      </c>
      <c r="M22" t="s">
        <v>24</v>
      </c>
      <c r="N22" t="s">
        <v>31</v>
      </c>
    </row>
    <row r="23" spans="1:14">
      <c r="A23" t="s">
        <v>129</v>
      </c>
      <c r="B23" t="s">
        <v>130</v>
      </c>
      <c r="C23" t="s">
        <v>131</v>
      </c>
      <c r="D23" t="s">
        <v>127</v>
      </c>
      <c r="E23" t="s">
        <v>127</v>
      </c>
      <c r="F23" t="s">
        <v>132</v>
      </c>
      <c r="G23" t="s">
        <v>133</v>
      </c>
      <c r="L23" t="s">
        <v>23</v>
      </c>
      <c r="M23" t="s">
        <v>24</v>
      </c>
      <c r="N23" t="s">
        <v>31</v>
      </c>
    </row>
    <row r="24" spans="1:14">
      <c r="A24" t="s">
        <v>134</v>
      </c>
      <c r="B24" t="s">
        <v>135</v>
      </c>
      <c r="C24" t="s">
        <v>136</v>
      </c>
      <c r="D24" t="s">
        <v>19</v>
      </c>
      <c r="E24" t="s">
        <v>20</v>
      </c>
      <c r="F24" t="s">
        <v>134</v>
      </c>
      <c r="G24" t="s">
        <v>137</v>
      </c>
      <c r="H24" t="s">
        <v>22</v>
      </c>
      <c r="L24" t="s">
        <v>23</v>
      </c>
      <c r="M24" t="s">
        <v>24</v>
      </c>
      <c r="N24" t="s">
        <v>25</v>
      </c>
    </row>
    <row r="25" spans="1:14">
      <c r="A25" t="s">
        <v>138</v>
      </c>
      <c r="B25" t="s">
        <v>84</v>
      </c>
      <c r="C25" t="s">
        <v>139</v>
      </c>
      <c r="D25" t="s">
        <v>19</v>
      </c>
      <c r="E25" t="s">
        <v>20</v>
      </c>
      <c r="F25" t="s">
        <v>86</v>
      </c>
      <c r="G25" t="s">
        <v>140</v>
      </c>
      <c r="H25" t="s">
        <v>22</v>
      </c>
      <c r="I25" t="s">
        <v>141</v>
      </c>
      <c r="L25" t="s">
        <v>23</v>
      </c>
      <c r="M25" t="s">
        <v>24</v>
      </c>
      <c r="N25" t="s">
        <v>25</v>
      </c>
    </row>
    <row r="26" spans="1:14">
      <c r="A26" t="s">
        <v>142</v>
      </c>
      <c r="B26" t="s">
        <v>143</v>
      </c>
      <c r="C26" t="s">
        <v>144</v>
      </c>
      <c r="D26" t="s">
        <v>19</v>
      </c>
      <c r="E26" t="s">
        <v>20</v>
      </c>
      <c r="F26" t="s">
        <v>145</v>
      </c>
      <c r="G26" t="s">
        <v>146</v>
      </c>
      <c r="H26" t="s">
        <v>22</v>
      </c>
      <c r="L26" t="s">
        <v>23</v>
      </c>
      <c r="M26" t="s">
        <v>24</v>
      </c>
      <c r="N26" t="s">
        <v>25</v>
      </c>
    </row>
    <row r="27" spans="1:14">
      <c r="A27" t="s">
        <v>147</v>
      </c>
      <c r="B27" t="s">
        <v>148</v>
      </c>
      <c r="C27" t="s">
        <v>149</v>
      </c>
      <c r="D27" t="s">
        <v>19</v>
      </c>
      <c r="E27" t="s">
        <v>20</v>
      </c>
      <c r="F27" t="s">
        <v>147</v>
      </c>
      <c r="G27" t="s">
        <v>150</v>
      </c>
      <c r="H27" t="s">
        <v>22</v>
      </c>
      <c r="I27" t="s">
        <v>151</v>
      </c>
      <c r="L27" t="s">
        <v>23</v>
      </c>
      <c r="M27" t="s">
        <v>24</v>
      </c>
      <c r="N27" t="s">
        <v>25</v>
      </c>
    </row>
    <row r="28" spans="1:14" s="2" customFormat="1">
      <c r="A28" s="2" t="s">
        <v>152</v>
      </c>
      <c r="B28" s="2" t="s">
        <v>152</v>
      </c>
      <c r="C28" s="2" t="s">
        <v>153</v>
      </c>
      <c r="D28" s="2" t="s">
        <v>19</v>
      </c>
      <c r="E28" s="2" t="s">
        <v>20</v>
      </c>
      <c r="F28" s="2" t="s">
        <v>154</v>
      </c>
      <c r="G28" s="2" t="s">
        <v>155</v>
      </c>
      <c r="H28" s="2" t="s">
        <v>22</v>
      </c>
      <c r="I28" s="2" t="s">
        <v>156</v>
      </c>
      <c r="L28" t="s">
        <v>23</v>
      </c>
      <c r="M28" t="s">
        <v>24</v>
      </c>
      <c r="N28" t="s">
        <v>49</v>
      </c>
    </row>
    <row r="29" spans="1:14">
      <c r="A29" s="2" t="s">
        <v>157</v>
      </c>
      <c r="B29" s="2" t="s">
        <v>158</v>
      </c>
      <c r="C29" s="2" t="s">
        <v>159</v>
      </c>
      <c r="D29" s="2" t="s">
        <v>19</v>
      </c>
      <c r="E29" s="2" t="s">
        <v>20</v>
      </c>
      <c r="F29" s="2" t="s">
        <v>157</v>
      </c>
      <c r="G29" s="2" t="s">
        <v>160</v>
      </c>
      <c r="H29" s="2" t="s">
        <v>22</v>
      </c>
      <c r="I29" s="2" t="s">
        <v>161</v>
      </c>
      <c r="J29" s="2"/>
      <c r="K29" s="2"/>
      <c r="L29" t="s">
        <v>23</v>
      </c>
      <c r="M29" t="s">
        <v>24</v>
      </c>
      <c r="N29" t="s">
        <v>25</v>
      </c>
    </row>
    <row r="30" spans="1:14">
      <c r="A30" s="2" t="s">
        <v>162</v>
      </c>
      <c r="B30" s="2" t="s">
        <v>163</v>
      </c>
      <c r="C30" s="2" t="s">
        <v>164</v>
      </c>
      <c r="D30" s="2" t="s">
        <v>19</v>
      </c>
      <c r="E30" s="2" t="s">
        <v>20</v>
      </c>
      <c r="F30" s="2" t="s">
        <v>165</v>
      </c>
      <c r="G30" s="2" t="s">
        <v>166</v>
      </c>
      <c r="H30" s="2" t="s">
        <v>22</v>
      </c>
      <c r="I30" s="2" t="s">
        <v>167</v>
      </c>
      <c r="J30" s="2"/>
      <c r="K30" s="2"/>
      <c r="L30" t="s">
        <v>23</v>
      </c>
      <c r="M30" t="s">
        <v>24</v>
      </c>
      <c r="N30" t="s">
        <v>49</v>
      </c>
    </row>
    <row r="31" spans="1:14">
      <c r="A31" s="2" t="s">
        <v>165</v>
      </c>
      <c r="B31" s="2" t="s">
        <v>168</v>
      </c>
      <c r="C31" s="2" t="s">
        <v>169</v>
      </c>
      <c r="D31" s="2" t="s">
        <v>19</v>
      </c>
      <c r="E31" s="2" t="s">
        <v>20</v>
      </c>
      <c r="F31" s="2" t="s">
        <v>165</v>
      </c>
      <c r="G31" s="2" t="s">
        <v>170</v>
      </c>
      <c r="H31" s="2" t="s">
        <v>22</v>
      </c>
      <c r="I31" s="2" t="s">
        <v>171</v>
      </c>
      <c r="J31" s="2"/>
      <c r="K31" s="2"/>
      <c r="L31" t="s">
        <v>23</v>
      </c>
      <c r="M31" t="s">
        <v>24</v>
      </c>
      <c r="N31" t="s">
        <v>31</v>
      </c>
    </row>
    <row r="32" spans="1:14">
      <c r="A32" s="2" t="s">
        <v>172</v>
      </c>
      <c r="B32" s="2" t="s">
        <v>173</v>
      </c>
      <c r="C32" s="2" t="s">
        <v>174</v>
      </c>
      <c r="D32" s="2" t="s">
        <v>19</v>
      </c>
      <c r="E32" s="2" t="s">
        <v>20</v>
      </c>
      <c r="F32" s="2" t="s">
        <v>175</v>
      </c>
      <c r="G32" s="2" t="s">
        <v>176</v>
      </c>
      <c r="H32" s="2"/>
      <c r="I32" s="2"/>
      <c r="J32" s="2"/>
      <c r="K32" s="2"/>
      <c r="L32" t="s">
        <v>23</v>
      </c>
      <c r="M32" t="s">
        <v>24</v>
      </c>
      <c r="N32" t="s">
        <v>49</v>
      </c>
    </row>
    <row r="33" spans="1:14">
      <c r="A33" t="s">
        <v>16</v>
      </c>
      <c r="B33" t="s">
        <v>17</v>
      </c>
      <c r="C33" t="s">
        <v>177</v>
      </c>
      <c r="D33" t="s">
        <v>44</v>
      </c>
      <c r="E33" t="s">
        <v>20</v>
      </c>
      <c r="F33" t="s">
        <v>178</v>
      </c>
      <c r="H33" t="s">
        <v>179</v>
      </c>
      <c r="J33">
        <v>15670</v>
      </c>
      <c r="L33" t="s">
        <v>180</v>
      </c>
      <c r="M33" t="s">
        <v>24</v>
      </c>
      <c r="N33" t="s">
        <v>49</v>
      </c>
    </row>
    <row r="34" spans="1:14">
      <c r="A34" t="s">
        <v>26</v>
      </c>
      <c r="B34" t="s">
        <v>27</v>
      </c>
      <c r="C34" t="s">
        <v>181</v>
      </c>
      <c r="D34" t="s">
        <v>127</v>
      </c>
      <c r="E34" t="s">
        <v>127</v>
      </c>
      <c r="F34" t="s">
        <v>182</v>
      </c>
      <c r="H34" t="s">
        <v>183</v>
      </c>
      <c r="J34">
        <v>12867</v>
      </c>
      <c r="L34" t="s">
        <v>180</v>
      </c>
      <c r="M34" t="s">
        <v>24</v>
      </c>
      <c r="N34" t="s">
        <v>31</v>
      </c>
    </row>
    <row r="35" spans="1:14">
      <c r="A35" t="s">
        <v>184</v>
      </c>
      <c r="B35" t="s">
        <v>185</v>
      </c>
      <c r="C35" t="s">
        <v>186</v>
      </c>
      <c r="D35" t="s">
        <v>19</v>
      </c>
      <c r="E35" t="s">
        <v>20</v>
      </c>
      <c r="F35" t="s">
        <v>187</v>
      </c>
      <c r="H35" t="s">
        <v>188</v>
      </c>
      <c r="J35">
        <v>15010</v>
      </c>
      <c r="L35" t="s">
        <v>180</v>
      </c>
      <c r="M35" t="s">
        <v>24</v>
      </c>
      <c r="N35" t="s">
        <v>25</v>
      </c>
    </row>
    <row r="36" spans="1:14">
      <c r="A36" t="s">
        <v>53</v>
      </c>
      <c r="B36" t="s">
        <v>54</v>
      </c>
      <c r="C36" t="s">
        <v>55</v>
      </c>
      <c r="D36" t="s">
        <v>19</v>
      </c>
      <c r="E36" t="s">
        <v>20</v>
      </c>
      <c r="F36" t="s">
        <v>53</v>
      </c>
      <c r="H36" t="s">
        <v>189</v>
      </c>
      <c r="J36">
        <v>5628</v>
      </c>
      <c r="L36" t="s">
        <v>180</v>
      </c>
      <c r="M36" t="s">
        <v>24</v>
      </c>
      <c r="N36" t="s">
        <v>25</v>
      </c>
    </row>
    <row r="37" spans="1:14">
      <c r="A37" t="s">
        <v>190</v>
      </c>
      <c r="B37" t="s">
        <v>191</v>
      </c>
      <c r="C37" t="s">
        <v>192</v>
      </c>
      <c r="D37" t="s">
        <v>19</v>
      </c>
      <c r="E37" t="s">
        <v>20</v>
      </c>
      <c r="F37" t="s">
        <v>193</v>
      </c>
      <c r="H37" t="s">
        <v>22</v>
      </c>
      <c r="J37">
        <v>3130</v>
      </c>
      <c r="L37" t="s">
        <v>180</v>
      </c>
      <c r="M37" t="s">
        <v>24</v>
      </c>
      <c r="N37" t="s">
        <v>25</v>
      </c>
    </row>
    <row r="38" spans="1:14">
      <c r="A38" t="s">
        <v>68</v>
      </c>
      <c r="B38" t="s">
        <v>69</v>
      </c>
      <c r="C38" t="s">
        <v>70</v>
      </c>
      <c r="D38" t="s">
        <v>19</v>
      </c>
      <c r="E38" t="s">
        <v>20</v>
      </c>
      <c r="F38" t="s">
        <v>194</v>
      </c>
      <c r="H38" t="s">
        <v>189</v>
      </c>
      <c r="J38">
        <v>3155</v>
      </c>
      <c r="L38" t="s">
        <v>180</v>
      </c>
      <c r="M38" t="s">
        <v>24</v>
      </c>
      <c r="N38" t="s">
        <v>31</v>
      </c>
    </row>
    <row r="39" spans="1:14">
      <c r="A39" t="s">
        <v>195</v>
      </c>
      <c r="B39" t="s">
        <v>196</v>
      </c>
      <c r="C39" t="s">
        <v>197</v>
      </c>
      <c r="D39" t="s">
        <v>19</v>
      </c>
      <c r="E39" t="s">
        <v>20</v>
      </c>
      <c r="F39" t="s">
        <v>198</v>
      </c>
      <c r="H39" t="s">
        <v>189</v>
      </c>
      <c r="J39">
        <v>3098</v>
      </c>
      <c r="L39" t="s">
        <v>180</v>
      </c>
      <c r="M39" t="s">
        <v>24</v>
      </c>
      <c r="N39" t="s">
        <v>25</v>
      </c>
    </row>
    <row r="40" spans="1:14">
      <c r="A40" t="s">
        <v>199</v>
      </c>
      <c r="B40" t="s">
        <v>200</v>
      </c>
      <c r="C40" t="s">
        <v>201</v>
      </c>
      <c r="D40" t="s">
        <v>19</v>
      </c>
      <c r="E40" t="s">
        <v>20</v>
      </c>
      <c r="F40" t="s">
        <v>202</v>
      </c>
      <c r="H40" t="s">
        <v>203</v>
      </c>
      <c r="J40">
        <v>3240</v>
      </c>
      <c r="L40" t="s">
        <v>180</v>
      </c>
      <c r="M40" t="s">
        <v>24</v>
      </c>
      <c r="N40" t="s">
        <v>25</v>
      </c>
    </row>
    <row r="41" spans="1:14">
      <c r="A41" t="s">
        <v>204</v>
      </c>
      <c r="B41" t="s">
        <v>205</v>
      </c>
      <c r="C41" t="s">
        <v>206</v>
      </c>
      <c r="D41" t="s">
        <v>19</v>
      </c>
      <c r="E41" t="s">
        <v>20</v>
      </c>
      <c r="F41" t="s">
        <v>207</v>
      </c>
      <c r="H41" t="s">
        <v>208</v>
      </c>
      <c r="J41">
        <v>10566</v>
      </c>
      <c r="L41" t="s">
        <v>180</v>
      </c>
      <c r="M41" t="s">
        <v>24</v>
      </c>
      <c r="N41" t="s">
        <v>31</v>
      </c>
    </row>
    <row r="42" spans="1:14">
      <c r="A42" t="s">
        <v>209</v>
      </c>
      <c r="B42" t="s">
        <v>210</v>
      </c>
      <c r="C42" t="s">
        <v>211</v>
      </c>
      <c r="D42" t="s">
        <v>19</v>
      </c>
      <c r="E42" t="s">
        <v>20</v>
      </c>
      <c r="F42" t="s">
        <v>212</v>
      </c>
      <c r="H42" t="s">
        <v>189</v>
      </c>
      <c r="J42">
        <v>9059</v>
      </c>
      <c r="L42" t="s">
        <v>180</v>
      </c>
      <c r="M42" t="s">
        <v>24</v>
      </c>
      <c r="N42" t="s">
        <v>25</v>
      </c>
    </row>
    <row r="43" spans="1:14">
      <c r="A43" t="s">
        <v>213</v>
      </c>
      <c r="B43" t="s">
        <v>214</v>
      </c>
      <c r="C43" t="s">
        <v>215</v>
      </c>
      <c r="D43" t="s">
        <v>44</v>
      </c>
      <c r="E43" t="s">
        <v>20</v>
      </c>
      <c r="F43" t="s">
        <v>216</v>
      </c>
      <c r="H43" t="s">
        <v>217</v>
      </c>
      <c r="J43">
        <v>10523</v>
      </c>
      <c r="L43" t="s">
        <v>180</v>
      </c>
      <c r="M43" t="s">
        <v>24</v>
      </c>
      <c r="N43" t="s">
        <v>49</v>
      </c>
    </row>
    <row r="44" spans="1:14">
      <c r="A44" t="s">
        <v>213</v>
      </c>
      <c r="B44" t="s">
        <v>214</v>
      </c>
      <c r="C44" t="s">
        <v>218</v>
      </c>
      <c r="D44" t="s">
        <v>19</v>
      </c>
      <c r="E44" t="s">
        <v>20</v>
      </c>
      <c r="F44" t="s">
        <v>216</v>
      </c>
      <c r="H44" t="s">
        <v>219</v>
      </c>
      <c r="J44">
        <v>10521</v>
      </c>
      <c r="L44" t="s">
        <v>180</v>
      </c>
      <c r="M44" t="s">
        <v>24</v>
      </c>
      <c r="N44" t="s">
        <v>49</v>
      </c>
    </row>
    <row r="45" spans="1:14">
      <c r="A45" t="s">
        <v>220</v>
      </c>
      <c r="B45" t="s">
        <v>221</v>
      </c>
      <c r="C45" t="s">
        <v>222</v>
      </c>
      <c r="D45" t="s">
        <v>19</v>
      </c>
      <c r="E45" t="s">
        <v>20</v>
      </c>
      <c r="F45" t="s">
        <v>223</v>
      </c>
      <c r="H45" t="s">
        <v>22</v>
      </c>
      <c r="J45">
        <v>9770</v>
      </c>
      <c r="L45" t="s">
        <v>180</v>
      </c>
      <c r="M45" t="s">
        <v>24</v>
      </c>
      <c r="N45" t="s">
        <v>49</v>
      </c>
    </row>
    <row r="46" spans="1:14">
      <c r="A46" t="s">
        <v>224</v>
      </c>
      <c r="B46" t="s">
        <v>148</v>
      </c>
      <c r="C46" t="s">
        <v>149</v>
      </c>
      <c r="D46" t="s">
        <v>19</v>
      </c>
      <c r="E46" t="s">
        <v>20</v>
      </c>
      <c r="F46" t="s">
        <v>225</v>
      </c>
      <c r="H46" t="s">
        <v>226</v>
      </c>
      <c r="J46">
        <v>15418</v>
      </c>
      <c r="L46" t="s">
        <v>180</v>
      </c>
      <c r="M46" t="s">
        <v>24</v>
      </c>
      <c r="N46" t="s">
        <v>25</v>
      </c>
    </row>
    <row r="47" spans="1:14">
      <c r="A47" t="s">
        <v>227</v>
      </c>
      <c r="B47" t="s">
        <v>158</v>
      </c>
      <c r="C47" t="s">
        <v>159</v>
      </c>
      <c r="D47" t="s">
        <v>19</v>
      </c>
      <c r="E47" t="s">
        <v>20</v>
      </c>
      <c r="F47" t="s">
        <v>228</v>
      </c>
      <c r="H47" t="s">
        <v>229</v>
      </c>
      <c r="J47">
        <v>12829</v>
      </c>
      <c r="L47" t="s">
        <v>180</v>
      </c>
      <c r="M47" t="s">
        <v>24</v>
      </c>
      <c r="N47" t="s">
        <v>49</v>
      </c>
    </row>
    <row r="48" spans="1:14">
      <c r="A48" t="s">
        <v>230</v>
      </c>
      <c r="B48" t="s">
        <v>231</v>
      </c>
      <c r="C48" t="s">
        <v>232</v>
      </c>
      <c r="D48" t="s">
        <v>127</v>
      </c>
      <c r="E48" t="s">
        <v>127</v>
      </c>
      <c r="F48" t="s">
        <v>233</v>
      </c>
      <c r="H48" t="s">
        <v>234</v>
      </c>
      <c r="J48">
        <v>23253</v>
      </c>
      <c r="L48" t="s">
        <v>180</v>
      </c>
      <c r="M48" t="s">
        <v>24</v>
      </c>
      <c r="N48" t="s">
        <v>49</v>
      </c>
    </row>
    <row r="49" spans="1:14">
      <c r="A49" t="s">
        <v>235</v>
      </c>
      <c r="B49" t="s">
        <v>236</v>
      </c>
      <c r="C49" t="s">
        <v>237</v>
      </c>
      <c r="D49" t="s">
        <v>19</v>
      </c>
      <c r="E49" t="s">
        <v>20</v>
      </c>
      <c r="F49" t="s">
        <v>238</v>
      </c>
      <c r="H49" t="s">
        <v>239</v>
      </c>
      <c r="J49">
        <v>13567</v>
      </c>
      <c r="L49" t="s">
        <v>180</v>
      </c>
      <c r="M49" t="s">
        <v>24</v>
      </c>
      <c r="N49" t="s">
        <v>49</v>
      </c>
    </row>
    <row r="50" spans="1:14">
      <c r="A50" t="s">
        <v>240</v>
      </c>
      <c r="B50" t="s">
        <v>241</v>
      </c>
      <c r="C50" t="s">
        <v>242</v>
      </c>
      <c r="D50" t="s">
        <v>19</v>
      </c>
      <c r="E50" t="s">
        <v>20</v>
      </c>
      <c r="F50" t="s">
        <v>243</v>
      </c>
      <c r="H50" t="s">
        <v>244</v>
      </c>
      <c r="J50">
        <v>11807</v>
      </c>
      <c r="L50" t="s">
        <v>180</v>
      </c>
      <c r="M50" t="s">
        <v>24</v>
      </c>
      <c r="N50" t="s">
        <v>31</v>
      </c>
    </row>
    <row r="51" spans="1:14">
      <c r="A51" t="s">
        <v>245</v>
      </c>
      <c r="B51" t="s">
        <v>246</v>
      </c>
      <c r="C51" t="s">
        <v>247</v>
      </c>
      <c r="D51" t="s">
        <v>19</v>
      </c>
      <c r="E51" t="s">
        <v>20</v>
      </c>
      <c r="F51" t="s">
        <v>248</v>
      </c>
      <c r="H51" t="s">
        <v>249</v>
      </c>
      <c r="J51">
        <v>14568</v>
      </c>
      <c r="L51" t="s">
        <v>180</v>
      </c>
      <c r="M51" t="s">
        <v>24</v>
      </c>
      <c r="N51" t="s">
        <v>31</v>
      </c>
    </row>
    <row r="52" spans="1:14">
      <c r="A52" t="s">
        <v>184</v>
      </c>
      <c r="B52" t="s">
        <v>185</v>
      </c>
      <c r="C52" t="s">
        <v>186</v>
      </c>
      <c r="D52" t="s">
        <v>19</v>
      </c>
      <c r="E52" t="s">
        <v>20</v>
      </c>
      <c r="F52" t="s">
        <v>184</v>
      </c>
      <c r="H52" t="s">
        <v>250</v>
      </c>
      <c r="K52" t="s">
        <v>251</v>
      </c>
      <c r="L52" t="s">
        <v>252</v>
      </c>
      <c r="M52" t="s">
        <v>24</v>
      </c>
      <c r="N52" t="s">
        <v>25</v>
      </c>
    </row>
    <row r="53" spans="1:14">
      <c r="A53" t="s">
        <v>253</v>
      </c>
      <c r="B53" t="s">
        <v>214</v>
      </c>
      <c r="C53" t="s">
        <v>254</v>
      </c>
      <c r="D53" t="s">
        <v>127</v>
      </c>
      <c r="E53" t="s">
        <v>127</v>
      </c>
      <c r="F53" t="s">
        <v>253</v>
      </c>
      <c r="H53" t="s">
        <v>127</v>
      </c>
      <c r="K53">
        <v>1680</v>
      </c>
      <c r="L53" t="s">
        <v>252</v>
      </c>
      <c r="M53" t="s">
        <v>24</v>
      </c>
      <c r="N53" t="s">
        <v>31</v>
      </c>
    </row>
    <row r="54" spans="1:14">
      <c r="A54" t="s">
        <v>255</v>
      </c>
      <c r="B54" t="s">
        <v>256</v>
      </c>
      <c r="C54" t="s">
        <v>257</v>
      </c>
      <c r="D54" t="s">
        <v>79</v>
      </c>
      <c r="E54" t="s">
        <v>20</v>
      </c>
      <c r="F54" t="s">
        <v>258</v>
      </c>
      <c r="H54" t="s">
        <v>259</v>
      </c>
      <c r="K54" t="s">
        <v>260</v>
      </c>
      <c r="L54" t="s">
        <v>252</v>
      </c>
      <c r="M54" t="s">
        <v>24</v>
      </c>
      <c r="N54" t="s">
        <v>31</v>
      </c>
    </row>
    <row r="55" spans="1:14">
      <c r="A55" t="s">
        <v>261</v>
      </c>
      <c r="B55" t="s">
        <v>262</v>
      </c>
      <c r="C55" t="s">
        <v>263</v>
      </c>
      <c r="D55" t="s">
        <v>19</v>
      </c>
      <c r="E55" t="s">
        <v>20</v>
      </c>
      <c r="F55" t="s">
        <v>261</v>
      </c>
      <c r="H55" t="s">
        <v>189</v>
      </c>
      <c r="K55" t="s">
        <v>264</v>
      </c>
      <c r="L55" t="s">
        <v>252</v>
      </c>
      <c r="M55" t="s">
        <v>24</v>
      </c>
      <c r="N55" t="s">
        <v>31</v>
      </c>
    </row>
    <row r="56" spans="1:14">
      <c r="A56" t="s">
        <v>265</v>
      </c>
      <c r="B56" t="s">
        <v>266</v>
      </c>
      <c r="C56" t="s">
        <v>267</v>
      </c>
      <c r="D56" t="s">
        <v>19</v>
      </c>
      <c r="E56" t="s">
        <v>20</v>
      </c>
      <c r="F56" t="s">
        <v>268</v>
      </c>
      <c r="H56" t="s">
        <v>269</v>
      </c>
      <c r="K56">
        <v>2207</v>
      </c>
      <c r="L56" t="s">
        <v>252</v>
      </c>
      <c r="M56" t="s">
        <v>24</v>
      </c>
      <c r="N56" t="s">
        <v>49</v>
      </c>
    </row>
    <row r="57" spans="1:14">
      <c r="A57" t="s">
        <v>270</v>
      </c>
      <c r="B57" t="s">
        <v>271</v>
      </c>
      <c r="C57" s="3" t="s">
        <v>272</v>
      </c>
      <c r="D57" t="s">
        <v>79</v>
      </c>
      <c r="E57" t="s">
        <v>20</v>
      </c>
      <c r="F57" t="s">
        <v>273</v>
      </c>
      <c r="H57" t="s">
        <v>259</v>
      </c>
      <c r="K57">
        <v>1915</v>
      </c>
      <c r="L57" t="s">
        <v>252</v>
      </c>
      <c r="M57" t="s">
        <v>24</v>
      </c>
      <c r="N57" t="s">
        <v>25</v>
      </c>
    </row>
    <row r="58" spans="1:14">
      <c r="A58" t="s">
        <v>274</v>
      </c>
      <c r="B58" t="s">
        <v>275</v>
      </c>
      <c r="C58" t="s">
        <v>276</v>
      </c>
      <c r="D58" t="s">
        <v>44</v>
      </c>
      <c r="E58" t="s">
        <v>20</v>
      </c>
      <c r="F58" t="s">
        <v>277</v>
      </c>
      <c r="H58" t="s">
        <v>278</v>
      </c>
      <c r="K58">
        <v>1926</v>
      </c>
      <c r="L58" t="s">
        <v>252</v>
      </c>
      <c r="M58" t="s">
        <v>24</v>
      </c>
      <c r="N58" t="s">
        <v>31</v>
      </c>
    </row>
    <row r="59" spans="1:14">
      <c r="A59" t="s">
        <v>279</v>
      </c>
      <c r="B59" t="s">
        <v>280</v>
      </c>
      <c r="C59" t="s">
        <v>281</v>
      </c>
      <c r="D59" t="s">
        <v>79</v>
      </c>
      <c r="E59" t="s">
        <v>20</v>
      </c>
      <c r="F59" t="s">
        <v>282</v>
      </c>
      <c r="H59" t="s">
        <v>82</v>
      </c>
      <c r="K59" t="s">
        <v>283</v>
      </c>
      <c r="L59" t="s">
        <v>252</v>
      </c>
      <c r="M59" t="s">
        <v>24</v>
      </c>
      <c r="N59" t="s">
        <v>25</v>
      </c>
    </row>
    <row r="60" spans="1:14">
      <c r="A60" t="s">
        <v>284</v>
      </c>
      <c r="B60" t="s">
        <v>285</v>
      </c>
      <c r="C60" t="s">
        <v>286</v>
      </c>
      <c r="D60" t="s">
        <v>127</v>
      </c>
      <c r="E60" t="s">
        <v>127</v>
      </c>
      <c r="F60" t="s">
        <v>284</v>
      </c>
      <c r="H60" t="s">
        <v>127</v>
      </c>
      <c r="K60">
        <v>1766</v>
      </c>
      <c r="L60" t="s">
        <v>252</v>
      </c>
      <c r="M60" t="s">
        <v>24</v>
      </c>
      <c r="N60" t="s">
        <v>25</v>
      </c>
    </row>
    <row r="61" spans="1:14">
      <c r="A61" t="s">
        <v>287</v>
      </c>
      <c r="B61" t="s">
        <v>288</v>
      </c>
      <c r="C61" t="s">
        <v>289</v>
      </c>
      <c r="D61" t="s">
        <v>127</v>
      </c>
      <c r="E61" t="s">
        <v>127</v>
      </c>
      <c r="F61" t="s">
        <v>290</v>
      </c>
      <c r="H61" t="s">
        <v>127</v>
      </c>
      <c r="K61">
        <v>1687</v>
      </c>
      <c r="L61" t="s">
        <v>252</v>
      </c>
      <c r="M61" t="s">
        <v>24</v>
      </c>
      <c r="N61" t="s">
        <v>25</v>
      </c>
    </row>
    <row r="62" spans="1:14">
      <c r="A62" t="s">
        <v>291</v>
      </c>
      <c r="B62" t="s">
        <v>292</v>
      </c>
      <c r="C62" t="s">
        <v>293</v>
      </c>
      <c r="D62" t="s">
        <v>19</v>
      </c>
      <c r="E62" t="s">
        <v>20</v>
      </c>
      <c r="F62" t="s">
        <v>291</v>
      </c>
      <c r="H62" t="s">
        <v>294</v>
      </c>
      <c r="K62" t="s">
        <v>295</v>
      </c>
      <c r="L62" t="s">
        <v>252</v>
      </c>
      <c r="M62" t="s">
        <v>24</v>
      </c>
      <c r="N62" t="s">
        <v>25</v>
      </c>
    </row>
    <row r="63" spans="1:14">
      <c r="A63" t="s">
        <v>296</v>
      </c>
      <c r="B63" t="s">
        <v>297</v>
      </c>
      <c r="C63" t="s">
        <v>298</v>
      </c>
      <c r="D63" t="s">
        <v>19</v>
      </c>
      <c r="E63" t="s">
        <v>20</v>
      </c>
      <c r="F63" t="s">
        <v>299</v>
      </c>
      <c r="H63" t="s">
        <v>300</v>
      </c>
      <c r="K63" t="s">
        <v>301</v>
      </c>
      <c r="L63" t="s">
        <v>252</v>
      </c>
      <c r="M63" t="s">
        <v>24</v>
      </c>
      <c r="N63" t="s">
        <v>25</v>
      </c>
    </row>
    <row r="64" spans="1:14">
      <c r="A64" t="s">
        <v>302</v>
      </c>
      <c r="B64" t="s">
        <v>100</v>
      </c>
      <c r="C64" t="s">
        <v>303</v>
      </c>
      <c r="D64" t="s">
        <v>79</v>
      </c>
      <c r="E64" t="s">
        <v>79</v>
      </c>
      <c r="F64" t="s">
        <v>304</v>
      </c>
      <c r="H64" t="s">
        <v>82</v>
      </c>
      <c r="K64" t="s">
        <v>305</v>
      </c>
      <c r="L64" t="s">
        <v>252</v>
      </c>
      <c r="M64" t="s">
        <v>24</v>
      </c>
      <c r="N64" t="s">
        <v>31</v>
      </c>
    </row>
    <row r="65" spans="1:17">
      <c r="A65" t="s">
        <v>306</v>
      </c>
      <c r="B65" t="s">
        <v>307</v>
      </c>
      <c r="C65" t="s">
        <v>308</v>
      </c>
      <c r="D65" t="s">
        <v>19</v>
      </c>
      <c r="E65" t="s">
        <v>20</v>
      </c>
      <c r="F65" t="s">
        <v>309</v>
      </c>
      <c r="H65" t="s">
        <v>310</v>
      </c>
      <c r="K65" t="s">
        <v>311</v>
      </c>
      <c r="L65" t="s">
        <v>252</v>
      </c>
      <c r="M65" t="s">
        <v>24</v>
      </c>
      <c r="N65" t="s">
        <v>25</v>
      </c>
    </row>
    <row r="66" spans="1:17">
      <c r="A66" t="s">
        <v>184</v>
      </c>
      <c r="B66" t="s">
        <v>185</v>
      </c>
      <c r="C66" t="s">
        <v>186</v>
      </c>
      <c r="D66" t="s">
        <v>19</v>
      </c>
      <c r="E66" t="s">
        <v>20</v>
      </c>
      <c r="F66" t="s">
        <v>185</v>
      </c>
      <c r="L66" t="s">
        <v>312</v>
      </c>
      <c r="M66" t="s">
        <v>24</v>
      </c>
      <c r="N66" t="s">
        <v>25</v>
      </c>
    </row>
    <row r="67" spans="1:17">
      <c r="A67" t="s">
        <v>313</v>
      </c>
      <c r="B67" t="s">
        <v>221</v>
      </c>
      <c r="C67" t="s">
        <v>314</v>
      </c>
      <c r="D67" t="s">
        <v>127</v>
      </c>
      <c r="E67" t="s">
        <v>127</v>
      </c>
      <c r="F67" t="s">
        <v>221</v>
      </c>
      <c r="L67" t="s">
        <v>312</v>
      </c>
      <c r="M67" t="s">
        <v>24</v>
      </c>
      <c r="N67" t="s">
        <v>25</v>
      </c>
    </row>
    <row r="68" spans="1:17">
      <c r="A68" t="s">
        <v>315</v>
      </c>
      <c r="B68" t="s">
        <v>316</v>
      </c>
      <c r="C68" t="s">
        <v>317</v>
      </c>
      <c r="D68" t="s">
        <v>44</v>
      </c>
      <c r="E68" t="s">
        <v>20</v>
      </c>
      <c r="F68" t="s">
        <v>316</v>
      </c>
      <c r="L68" t="s">
        <v>312</v>
      </c>
      <c r="M68" t="s">
        <v>24</v>
      </c>
      <c r="N68" t="s">
        <v>25</v>
      </c>
    </row>
    <row r="69" spans="1:17">
      <c r="A69" t="s">
        <v>318</v>
      </c>
      <c r="B69" t="s">
        <v>316</v>
      </c>
      <c r="C69" t="s">
        <v>319</v>
      </c>
      <c r="D69" t="s">
        <v>127</v>
      </c>
      <c r="E69" t="s">
        <v>127</v>
      </c>
      <c r="F69" t="s">
        <v>316</v>
      </c>
      <c r="L69" t="s">
        <v>312</v>
      </c>
      <c r="M69" t="s">
        <v>24</v>
      </c>
      <c r="N69" t="s">
        <v>25</v>
      </c>
    </row>
    <row r="70" spans="1:17">
      <c r="A70" t="s">
        <v>320</v>
      </c>
      <c r="B70" t="s">
        <v>321</v>
      </c>
      <c r="C70" t="s">
        <v>322</v>
      </c>
      <c r="D70" t="s">
        <v>127</v>
      </c>
      <c r="E70" t="s">
        <v>127</v>
      </c>
      <c r="F70" t="s">
        <v>321</v>
      </c>
      <c r="L70" t="s">
        <v>312</v>
      </c>
      <c r="M70" t="s">
        <v>24</v>
      </c>
      <c r="N70" t="s">
        <v>25</v>
      </c>
      <c r="Q70" s="36" t="s">
        <v>323</v>
      </c>
    </row>
    <row r="71" spans="1:17">
      <c r="A71" t="s">
        <v>324</v>
      </c>
      <c r="B71" t="s">
        <v>148</v>
      </c>
      <c r="C71" t="s">
        <v>325</v>
      </c>
      <c r="D71" t="s">
        <v>79</v>
      </c>
      <c r="E71" t="s">
        <v>20</v>
      </c>
      <c r="F71" t="s">
        <v>148</v>
      </c>
      <c r="L71" t="s">
        <v>312</v>
      </c>
      <c r="M71" t="s">
        <v>24</v>
      </c>
      <c r="N71" t="s">
        <v>25</v>
      </c>
    </row>
    <row r="72" spans="1:17">
      <c r="A72" t="s">
        <v>326</v>
      </c>
      <c r="B72" t="s">
        <v>100</v>
      </c>
      <c r="C72" t="s">
        <v>101</v>
      </c>
      <c r="D72" t="s">
        <v>44</v>
      </c>
      <c r="E72" t="s">
        <v>20</v>
      </c>
      <c r="F72" t="s">
        <v>100</v>
      </c>
      <c r="L72" t="s">
        <v>312</v>
      </c>
      <c r="M72" t="s">
        <v>24</v>
      </c>
      <c r="N72" t="s">
        <v>25</v>
      </c>
    </row>
    <row r="73" spans="1:17">
      <c r="A73" t="s">
        <v>199</v>
      </c>
      <c r="B73" t="s">
        <v>200</v>
      </c>
      <c r="C73" t="s">
        <v>201</v>
      </c>
      <c r="D73" t="s">
        <v>19</v>
      </c>
      <c r="E73" t="s">
        <v>20</v>
      </c>
      <c r="F73" t="s">
        <v>200</v>
      </c>
      <c r="L73" t="s">
        <v>312</v>
      </c>
      <c r="M73" t="s">
        <v>24</v>
      </c>
      <c r="N73" t="s">
        <v>25</v>
      </c>
    </row>
    <row r="74" spans="1:17">
      <c r="A74" t="s">
        <v>327</v>
      </c>
      <c r="B74" t="s">
        <v>328</v>
      </c>
      <c r="C74" t="s">
        <v>329</v>
      </c>
      <c r="D74" t="s">
        <v>127</v>
      </c>
      <c r="E74" t="s">
        <v>127</v>
      </c>
      <c r="F74" t="s">
        <v>328</v>
      </c>
      <c r="L74" t="s">
        <v>312</v>
      </c>
      <c r="M74" t="s">
        <v>24</v>
      </c>
      <c r="N74" t="s">
        <v>25</v>
      </c>
    </row>
    <row r="75" spans="1:17">
      <c r="A75" t="s">
        <v>330</v>
      </c>
      <c r="B75" t="s">
        <v>331</v>
      </c>
      <c r="C75" t="s">
        <v>332</v>
      </c>
      <c r="D75" t="s">
        <v>79</v>
      </c>
      <c r="E75" t="s">
        <v>20</v>
      </c>
      <c r="F75" t="s">
        <v>333</v>
      </c>
      <c r="G75" t="s">
        <v>330</v>
      </c>
      <c r="L75" t="s">
        <v>334</v>
      </c>
      <c r="M75" t="s">
        <v>24</v>
      </c>
      <c r="N75" t="s">
        <v>31</v>
      </c>
    </row>
    <row r="76" spans="1:17">
      <c r="A76" t="s">
        <v>335</v>
      </c>
      <c r="B76" t="s">
        <v>335</v>
      </c>
      <c r="C76" t="s">
        <v>336</v>
      </c>
      <c r="D76" t="s">
        <v>79</v>
      </c>
      <c r="E76" t="s">
        <v>20</v>
      </c>
      <c r="F76" t="s">
        <v>337</v>
      </c>
      <c r="G76" t="s">
        <v>338</v>
      </c>
      <c r="L76" t="s">
        <v>334</v>
      </c>
      <c r="M76" t="s">
        <v>24</v>
      </c>
      <c r="N76" t="s">
        <v>31</v>
      </c>
    </row>
    <row r="77" spans="1:17">
      <c r="A77" t="s">
        <v>339</v>
      </c>
      <c r="B77" t="s">
        <v>340</v>
      </c>
      <c r="C77" t="s">
        <v>341</v>
      </c>
      <c r="D77" t="s">
        <v>127</v>
      </c>
      <c r="E77" t="s">
        <v>127</v>
      </c>
      <c r="F77" t="s">
        <v>339</v>
      </c>
      <c r="G77" t="s">
        <v>342</v>
      </c>
      <c r="L77" t="s">
        <v>334</v>
      </c>
      <c r="M77" t="s">
        <v>24</v>
      </c>
      <c r="N77" t="s">
        <v>31</v>
      </c>
    </row>
    <row r="78" spans="1:17">
      <c r="A78" t="s">
        <v>343</v>
      </c>
      <c r="B78" t="s">
        <v>344</v>
      </c>
      <c r="C78" t="s">
        <v>345</v>
      </c>
      <c r="D78" t="s">
        <v>19</v>
      </c>
      <c r="E78" t="s">
        <v>20</v>
      </c>
      <c r="F78" t="s">
        <v>346</v>
      </c>
      <c r="G78" t="s">
        <v>347</v>
      </c>
      <c r="L78" t="s">
        <v>334</v>
      </c>
      <c r="M78" t="s">
        <v>24</v>
      </c>
      <c r="N78" t="s">
        <v>25</v>
      </c>
    </row>
    <row r="79" spans="1:17">
      <c r="A79" t="s">
        <v>348</v>
      </c>
      <c r="B79" t="s">
        <v>349</v>
      </c>
      <c r="C79" t="s">
        <v>350</v>
      </c>
      <c r="D79" t="s">
        <v>127</v>
      </c>
      <c r="E79" t="s">
        <v>127</v>
      </c>
      <c r="F79" t="s">
        <v>351</v>
      </c>
      <c r="G79" t="s">
        <v>352</v>
      </c>
      <c r="L79" t="s">
        <v>334</v>
      </c>
      <c r="M79" t="s">
        <v>24</v>
      </c>
      <c r="N79" t="s">
        <v>25</v>
      </c>
    </row>
    <row r="80" spans="1:17">
      <c r="A80" t="s">
        <v>353</v>
      </c>
      <c r="B80" t="s">
        <v>241</v>
      </c>
      <c r="C80" t="s">
        <v>242</v>
      </c>
      <c r="D80" t="s">
        <v>19</v>
      </c>
      <c r="E80" t="s">
        <v>20</v>
      </c>
      <c r="F80" t="s">
        <v>354</v>
      </c>
      <c r="G80" t="s">
        <v>355</v>
      </c>
      <c r="L80" t="s">
        <v>334</v>
      </c>
      <c r="M80" t="s">
        <v>24</v>
      </c>
      <c r="N80" t="s">
        <v>31</v>
      </c>
    </row>
    <row r="81" spans="1:16" s="2" customFormat="1">
      <c r="A81" s="2" t="s">
        <v>356</v>
      </c>
      <c r="B81" s="2" t="s">
        <v>266</v>
      </c>
      <c r="C81" s="2" t="s">
        <v>357</v>
      </c>
      <c r="D81" s="2" t="s">
        <v>79</v>
      </c>
      <c r="E81" s="2" t="s">
        <v>20</v>
      </c>
      <c r="F81" s="2" t="s">
        <v>268</v>
      </c>
      <c r="G81" s="2" t="s">
        <v>358</v>
      </c>
      <c r="L81" s="2" t="s">
        <v>334</v>
      </c>
      <c r="M81" s="2" t="s">
        <v>24</v>
      </c>
      <c r="N81" s="2" t="s">
        <v>49</v>
      </c>
    </row>
    <row r="82" spans="1:16">
      <c r="A82" t="s">
        <v>359</v>
      </c>
      <c r="B82" t="s">
        <v>360</v>
      </c>
      <c r="C82" t="s">
        <v>361</v>
      </c>
      <c r="D82" t="s">
        <v>127</v>
      </c>
      <c r="E82" t="s">
        <v>127</v>
      </c>
      <c r="F82" t="s">
        <v>362</v>
      </c>
      <c r="G82" t="s">
        <v>363</v>
      </c>
      <c r="L82" t="s">
        <v>334</v>
      </c>
      <c r="M82" t="s">
        <v>24</v>
      </c>
      <c r="N82" t="s">
        <v>25</v>
      </c>
    </row>
    <row r="83" spans="1:16">
      <c r="A83" t="s">
        <v>364</v>
      </c>
      <c r="B83" t="s">
        <v>365</v>
      </c>
      <c r="C83" t="s">
        <v>366</v>
      </c>
      <c r="D83" t="s">
        <v>19</v>
      </c>
      <c r="E83" t="s">
        <v>20</v>
      </c>
      <c r="F83" t="s">
        <v>367</v>
      </c>
      <c r="G83" t="s">
        <v>368</v>
      </c>
      <c r="L83" t="s">
        <v>334</v>
      </c>
      <c r="M83" t="s">
        <v>24</v>
      </c>
      <c r="N83" t="s">
        <v>25</v>
      </c>
    </row>
    <row r="84" spans="1:16">
      <c r="A84" t="s">
        <v>37</v>
      </c>
      <c r="B84" t="s">
        <v>38</v>
      </c>
      <c r="C84" t="s">
        <v>369</v>
      </c>
      <c r="D84" t="s">
        <v>127</v>
      </c>
      <c r="E84" t="s">
        <v>127</v>
      </c>
      <c r="F84" t="s">
        <v>370</v>
      </c>
      <c r="G84" t="s">
        <v>371</v>
      </c>
      <c r="L84" t="s">
        <v>372</v>
      </c>
      <c r="M84" t="s">
        <v>24</v>
      </c>
      <c r="N84" t="s">
        <v>31</v>
      </c>
      <c r="O84">
        <v>483</v>
      </c>
      <c r="P84">
        <v>487</v>
      </c>
    </row>
    <row r="85" spans="1:16">
      <c r="A85" t="s">
        <v>373</v>
      </c>
      <c r="B85" t="s">
        <v>271</v>
      </c>
      <c r="C85" t="s">
        <v>374</v>
      </c>
      <c r="D85" t="s">
        <v>127</v>
      </c>
      <c r="E85" t="s">
        <v>127</v>
      </c>
      <c r="F85" t="s">
        <v>273</v>
      </c>
      <c r="G85" t="s">
        <v>375</v>
      </c>
      <c r="L85" t="s">
        <v>372</v>
      </c>
      <c r="M85" t="s">
        <v>24</v>
      </c>
      <c r="N85" t="s">
        <v>25</v>
      </c>
      <c r="O85">
        <v>483</v>
      </c>
      <c r="P85">
        <v>487</v>
      </c>
    </row>
    <row r="86" spans="1:16">
      <c r="A86" t="s">
        <v>376</v>
      </c>
      <c r="B86" t="s">
        <v>377</v>
      </c>
      <c r="C86" t="s">
        <v>378</v>
      </c>
      <c r="D86" t="s">
        <v>379</v>
      </c>
      <c r="E86" t="s">
        <v>379</v>
      </c>
      <c r="F86" t="s">
        <v>380</v>
      </c>
      <c r="G86" t="s">
        <v>381</v>
      </c>
      <c r="L86" t="s">
        <v>372</v>
      </c>
      <c r="M86" t="s">
        <v>24</v>
      </c>
      <c r="N86" t="s">
        <v>49</v>
      </c>
      <c r="O86">
        <v>483</v>
      </c>
      <c r="P86">
        <v>487</v>
      </c>
    </row>
    <row r="87" spans="1:16">
      <c r="A87" t="s">
        <v>382</v>
      </c>
      <c r="B87" t="s">
        <v>383</v>
      </c>
      <c r="C87" t="s">
        <v>384</v>
      </c>
      <c r="D87" t="s">
        <v>127</v>
      </c>
      <c r="E87" t="s">
        <v>127</v>
      </c>
      <c r="F87" t="s">
        <v>385</v>
      </c>
      <c r="G87" t="s">
        <v>386</v>
      </c>
      <c r="L87" t="s">
        <v>372</v>
      </c>
      <c r="M87" t="s">
        <v>24</v>
      </c>
      <c r="N87" t="s">
        <v>31</v>
      </c>
      <c r="O87">
        <v>483</v>
      </c>
      <c r="P87">
        <v>487</v>
      </c>
    </row>
    <row r="88" spans="1:16">
      <c r="A88" t="s">
        <v>382</v>
      </c>
      <c r="B88" t="s">
        <v>383</v>
      </c>
      <c r="C88" t="s">
        <v>384</v>
      </c>
      <c r="D88" t="s">
        <v>127</v>
      </c>
      <c r="E88" t="s">
        <v>127</v>
      </c>
      <c r="F88" t="s">
        <v>385</v>
      </c>
      <c r="G88" t="s">
        <v>387</v>
      </c>
      <c r="L88" t="s">
        <v>372</v>
      </c>
      <c r="M88" t="s">
        <v>24</v>
      </c>
      <c r="N88" t="s">
        <v>31</v>
      </c>
      <c r="O88">
        <v>483</v>
      </c>
      <c r="P88">
        <v>487</v>
      </c>
    </row>
    <row r="89" spans="1:16">
      <c r="A89" t="s">
        <v>388</v>
      </c>
      <c r="B89" t="s">
        <v>389</v>
      </c>
      <c r="C89" t="s">
        <v>390</v>
      </c>
      <c r="D89" t="s">
        <v>127</v>
      </c>
      <c r="E89" t="s">
        <v>127</v>
      </c>
      <c r="F89" t="s">
        <v>391</v>
      </c>
      <c r="G89" t="s">
        <v>392</v>
      </c>
      <c r="L89" t="s">
        <v>372</v>
      </c>
      <c r="M89" t="s">
        <v>24</v>
      </c>
      <c r="N89" t="s">
        <v>25</v>
      </c>
      <c r="O89">
        <v>483</v>
      </c>
      <c r="P89">
        <v>487</v>
      </c>
    </row>
    <row r="90" spans="1:16">
      <c r="A90" t="s">
        <v>393</v>
      </c>
      <c r="B90" t="s">
        <v>344</v>
      </c>
      <c r="C90" t="s">
        <v>394</v>
      </c>
      <c r="D90" t="s">
        <v>127</v>
      </c>
      <c r="E90" t="s">
        <v>127</v>
      </c>
      <c r="F90" t="s">
        <v>346</v>
      </c>
      <c r="G90" t="s">
        <v>395</v>
      </c>
      <c r="L90" t="s">
        <v>372</v>
      </c>
      <c r="M90" t="s">
        <v>24</v>
      </c>
      <c r="N90" t="s">
        <v>25</v>
      </c>
      <c r="O90">
        <v>483</v>
      </c>
      <c r="P90">
        <v>487</v>
      </c>
    </row>
    <row r="91" spans="1:16">
      <c r="A91" t="s">
        <v>396</v>
      </c>
      <c r="B91" t="s">
        <v>397</v>
      </c>
      <c r="C91" t="s">
        <v>398</v>
      </c>
      <c r="D91" t="s">
        <v>127</v>
      </c>
      <c r="E91" t="s">
        <v>127</v>
      </c>
      <c r="F91" t="s">
        <v>399</v>
      </c>
      <c r="G91" t="s">
        <v>400</v>
      </c>
      <c r="L91" t="s">
        <v>372</v>
      </c>
      <c r="M91" t="s">
        <v>24</v>
      </c>
      <c r="N91" t="s">
        <v>25</v>
      </c>
      <c r="O91">
        <v>483</v>
      </c>
      <c r="P91">
        <v>487</v>
      </c>
    </row>
    <row r="92" spans="1:16">
      <c r="A92" t="s">
        <v>401</v>
      </c>
      <c r="B92" t="s">
        <v>397</v>
      </c>
      <c r="C92" t="s">
        <v>402</v>
      </c>
      <c r="D92" t="s">
        <v>379</v>
      </c>
      <c r="E92" t="s">
        <v>379</v>
      </c>
      <c r="F92" t="s">
        <v>399</v>
      </c>
      <c r="G92" t="s">
        <v>403</v>
      </c>
      <c r="L92" t="s">
        <v>372</v>
      </c>
      <c r="M92" t="s">
        <v>24</v>
      </c>
      <c r="N92" t="s">
        <v>25</v>
      </c>
      <c r="O92">
        <v>483</v>
      </c>
      <c r="P92">
        <v>487</v>
      </c>
    </row>
    <row r="93" spans="1:16">
      <c r="A93" t="s">
        <v>404</v>
      </c>
      <c r="B93" t="s">
        <v>405</v>
      </c>
      <c r="C93" t="s">
        <v>406</v>
      </c>
      <c r="D93" t="s">
        <v>127</v>
      </c>
      <c r="E93" t="s">
        <v>127</v>
      </c>
      <c r="F93" t="s">
        <v>407</v>
      </c>
      <c r="G93" t="s">
        <v>404</v>
      </c>
      <c r="L93" t="s">
        <v>372</v>
      </c>
      <c r="M93" t="s">
        <v>24</v>
      </c>
      <c r="N93" t="s">
        <v>25</v>
      </c>
      <c r="O93">
        <v>483</v>
      </c>
      <c r="P93">
        <v>487</v>
      </c>
    </row>
    <row r="94" spans="1:16">
      <c r="A94" t="s">
        <v>408</v>
      </c>
      <c r="B94" t="s">
        <v>405</v>
      </c>
      <c r="C94" t="s">
        <v>409</v>
      </c>
      <c r="D94" t="s">
        <v>379</v>
      </c>
      <c r="E94" t="s">
        <v>379</v>
      </c>
      <c r="F94" t="s">
        <v>407</v>
      </c>
      <c r="G94" t="s">
        <v>408</v>
      </c>
      <c r="L94" t="s">
        <v>372</v>
      </c>
      <c r="M94" t="s">
        <v>24</v>
      </c>
      <c r="N94" t="s">
        <v>25</v>
      </c>
      <c r="O94">
        <v>483</v>
      </c>
      <c r="P94">
        <v>487</v>
      </c>
    </row>
    <row r="95" spans="1:16">
      <c r="A95" t="s">
        <v>410</v>
      </c>
      <c r="B95" t="s">
        <v>410</v>
      </c>
      <c r="C95" t="s">
        <v>411</v>
      </c>
      <c r="D95" t="s">
        <v>127</v>
      </c>
      <c r="E95" t="s">
        <v>127</v>
      </c>
      <c r="G95" t="s">
        <v>412</v>
      </c>
      <c r="L95" t="s">
        <v>372</v>
      </c>
      <c r="M95" t="s">
        <v>24</v>
      </c>
      <c r="N95" t="s">
        <v>31</v>
      </c>
      <c r="O95">
        <v>483</v>
      </c>
      <c r="P95">
        <v>487</v>
      </c>
    </row>
    <row r="96" spans="1:16">
      <c r="A96" t="s">
        <v>413</v>
      </c>
      <c r="B96" t="s">
        <v>331</v>
      </c>
      <c r="C96" t="s">
        <v>414</v>
      </c>
      <c r="D96" t="s">
        <v>127</v>
      </c>
      <c r="E96" t="s">
        <v>127</v>
      </c>
      <c r="F96" t="s">
        <v>333</v>
      </c>
      <c r="G96" t="s">
        <v>415</v>
      </c>
      <c r="L96" t="s">
        <v>372</v>
      </c>
      <c r="M96" t="s">
        <v>24</v>
      </c>
      <c r="N96" t="s">
        <v>31</v>
      </c>
      <c r="O96">
        <v>483</v>
      </c>
      <c r="P96">
        <v>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A34F-EFA8-46A4-A9F8-BE0DB036C235}">
  <dimension ref="A1:B5"/>
  <sheetViews>
    <sheetView workbookViewId="0">
      <selection activeCell="A5" sqref="A5"/>
    </sheetView>
  </sheetViews>
  <sheetFormatPr defaultRowHeight="15"/>
  <cols>
    <col min="1" max="1" width="17.7109375" bestFit="1" customWidth="1"/>
  </cols>
  <sheetData>
    <row r="1" spans="1:2">
      <c r="A1" s="1" t="s">
        <v>13</v>
      </c>
      <c r="B1" s="1" t="s">
        <v>416</v>
      </c>
    </row>
    <row r="2" spans="1:2">
      <c r="A2" t="s">
        <v>417</v>
      </c>
      <c r="B2" t="s">
        <v>418</v>
      </c>
    </row>
    <row r="3" spans="1:2">
      <c r="A3" t="s">
        <v>25</v>
      </c>
      <c r="B3" t="s">
        <v>419</v>
      </c>
    </row>
    <row r="4" spans="1:2">
      <c r="A4" t="s">
        <v>49</v>
      </c>
      <c r="B4" t="s">
        <v>420</v>
      </c>
    </row>
    <row r="5" spans="1:2">
      <c r="A5" t="s">
        <v>421</v>
      </c>
      <c r="B5" t="s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9FDA-427F-464F-B05B-939B75711BD7}">
  <dimension ref="A1:X108"/>
  <sheetViews>
    <sheetView zoomScale="80" zoomScaleNormal="80" workbookViewId="0">
      <pane ySplit="9" topLeftCell="A10" activePane="bottomLeft" state="frozen"/>
      <selection pane="bottomLeft" activeCell="A10" sqref="A10"/>
    </sheetView>
  </sheetViews>
  <sheetFormatPr defaultRowHeight="15"/>
  <cols>
    <col min="1" max="1" width="28.7109375" customWidth="1"/>
    <col min="2" max="2" width="24.5703125" bestFit="1" customWidth="1"/>
    <col min="3" max="3" width="26.140625" customWidth="1"/>
    <col min="4" max="4" width="23.28515625" bestFit="1" customWidth="1"/>
    <col min="5" max="5" width="14.140625" customWidth="1"/>
    <col min="6" max="6" width="33.28515625" customWidth="1"/>
    <col min="7" max="7" width="22.28515625" customWidth="1"/>
    <col min="8" max="8" width="18.140625" bestFit="1" customWidth="1"/>
    <col min="9" max="9" width="6.28515625" customWidth="1"/>
    <col min="10" max="10" width="5.85546875" customWidth="1"/>
    <col min="11" max="11" width="6.85546875" customWidth="1"/>
    <col min="12" max="12" width="16.28515625" customWidth="1"/>
    <col min="13" max="13" width="12.5703125" customWidth="1"/>
    <col min="14" max="14" width="16.5703125" customWidth="1"/>
    <col min="15" max="15" width="14.28515625" customWidth="1"/>
    <col min="16" max="16" width="15.28515625" customWidth="1"/>
    <col min="17" max="17" width="55.140625" customWidth="1"/>
    <col min="18" max="18" width="35.140625" customWidth="1"/>
    <col min="19" max="19" width="35.42578125" customWidth="1"/>
    <col min="20" max="20" width="16.85546875" customWidth="1"/>
    <col min="21" max="21" width="18.140625" customWidth="1"/>
    <col min="22" max="22" width="13" customWidth="1"/>
    <col min="23" max="23" width="15.140625" customWidth="1"/>
    <col min="24" max="24" width="62.85546875" customWidth="1"/>
  </cols>
  <sheetData>
    <row r="1" spans="1:24" ht="45.75">
      <c r="A1" s="18" t="s">
        <v>423</v>
      </c>
      <c r="B1" s="17" t="s">
        <v>424</v>
      </c>
    </row>
    <row r="2" spans="1:24">
      <c r="A2" t="s">
        <v>425</v>
      </c>
    </row>
    <row r="3" spans="1:24">
      <c r="A3" t="s">
        <v>416</v>
      </c>
      <c r="B3" t="s">
        <v>426</v>
      </c>
    </row>
    <row r="4" spans="1:24">
      <c r="A4" t="s">
        <v>427</v>
      </c>
    </row>
    <row r="5" spans="1:24">
      <c r="A5" t="s">
        <v>428</v>
      </c>
    </row>
    <row r="8" spans="1:24">
      <c r="A8" s="46" t="s">
        <v>429</v>
      </c>
      <c r="B8" s="46"/>
      <c r="C8" s="46"/>
      <c r="D8" s="46"/>
      <c r="E8" s="46"/>
      <c r="F8" s="47" t="s">
        <v>430</v>
      </c>
      <c r="G8" s="47"/>
      <c r="H8" s="47"/>
      <c r="I8" s="47"/>
      <c r="J8" s="47"/>
      <c r="K8" s="47"/>
      <c r="L8" s="47"/>
      <c r="Q8" s="48" t="s">
        <v>431</v>
      </c>
      <c r="R8" s="48"/>
      <c r="S8" s="48"/>
      <c r="T8" s="48"/>
      <c r="U8" s="48"/>
      <c r="V8" s="48"/>
      <c r="W8" s="48"/>
    </row>
    <row r="9" spans="1:24" s="1" customFormat="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432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433</v>
      </c>
      <c r="R9" s="1" t="s">
        <v>434</v>
      </c>
      <c r="S9" s="1" t="s">
        <v>435</v>
      </c>
      <c r="T9" s="1" t="s">
        <v>436</v>
      </c>
      <c r="U9" s="1" t="s">
        <v>437</v>
      </c>
      <c r="V9" s="1" t="s">
        <v>438</v>
      </c>
      <c r="W9" s="1" t="s">
        <v>439</v>
      </c>
      <c r="X9" s="1" t="s">
        <v>440</v>
      </c>
    </row>
    <row r="10" spans="1:24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16</v>
      </c>
      <c r="G10" t="s">
        <v>21</v>
      </c>
      <c r="H10" t="s">
        <v>22</v>
      </c>
      <c r="L10" t="s">
        <v>23</v>
      </c>
      <c r="M10" t="s">
        <v>24</v>
      </c>
      <c r="N10" t="s">
        <v>25</v>
      </c>
      <c r="Q10" s="4" t="s">
        <v>21</v>
      </c>
      <c r="R10" s="4" t="s">
        <v>18</v>
      </c>
      <c r="S10" s="4" t="s">
        <v>441</v>
      </c>
      <c r="T10" s="4"/>
      <c r="U10" t="s">
        <v>442</v>
      </c>
      <c r="V10" s="4">
        <v>163.07409999999999</v>
      </c>
      <c r="W10" s="4">
        <v>0.99709999999999999</v>
      </c>
      <c r="X10" s="4" t="s">
        <v>443</v>
      </c>
    </row>
    <row r="11" spans="1:24">
      <c r="A11" t="s">
        <v>26</v>
      </c>
      <c r="B11" t="s">
        <v>27</v>
      </c>
      <c r="C11" t="s">
        <v>28</v>
      </c>
      <c r="D11" t="s">
        <v>19</v>
      </c>
      <c r="E11" t="s">
        <v>20</v>
      </c>
      <c r="F11" t="s">
        <v>29</v>
      </c>
      <c r="G11" t="s">
        <v>30</v>
      </c>
      <c r="L11" t="s">
        <v>23</v>
      </c>
      <c r="M11" t="s">
        <v>24</v>
      </c>
      <c r="N11" t="s">
        <v>25</v>
      </c>
      <c r="Q11" s="5" t="s">
        <v>30</v>
      </c>
      <c r="R11" s="5" t="s">
        <v>28</v>
      </c>
      <c r="S11" s="5" t="s">
        <v>181</v>
      </c>
      <c r="T11" s="5">
        <v>2</v>
      </c>
      <c r="V11" s="5">
        <v>291.66609999999997</v>
      </c>
      <c r="W11" s="5">
        <v>0.88749999999999996</v>
      </c>
      <c r="X11" s="5" t="s">
        <v>444</v>
      </c>
    </row>
    <row r="12" spans="1:24">
      <c r="A12" t="s">
        <v>32</v>
      </c>
      <c r="B12" t="s">
        <v>33</v>
      </c>
      <c r="C12" t="s">
        <v>34</v>
      </c>
      <c r="D12" t="s">
        <v>19</v>
      </c>
      <c r="E12" t="s">
        <v>20</v>
      </c>
      <c r="F12" t="s">
        <v>32</v>
      </c>
      <c r="G12" t="s">
        <v>35</v>
      </c>
      <c r="H12" t="s">
        <v>22</v>
      </c>
      <c r="I12" t="s">
        <v>36</v>
      </c>
      <c r="L12" t="s">
        <v>23</v>
      </c>
      <c r="M12" t="s">
        <v>24</v>
      </c>
      <c r="N12" t="s">
        <v>25</v>
      </c>
      <c r="Q12" s="5" t="s">
        <v>35</v>
      </c>
      <c r="R12" s="5" t="s">
        <v>34</v>
      </c>
      <c r="S12" s="5" t="s">
        <v>34</v>
      </c>
      <c r="T12" s="5">
        <v>1</v>
      </c>
      <c r="V12" s="5">
        <v>120.16630000000001</v>
      </c>
      <c r="W12" s="5">
        <v>0.94969999999999999</v>
      </c>
      <c r="X12" s="5" t="s">
        <v>445</v>
      </c>
    </row>
    <row r="13" spans="1:24">
      <c r="A13" t="s">
        <v>37</v>
      </c>
      <c r="B13" t="s">
        <v>38</v>
      </c>
      <c r="C13" t="s">
        <v>39</v>
      </c>
      <c r="D13" t="s">
        <v>19</v>
      </c>
      <c r="E13" t="s">
        <v>20</v>
      </c>
      <c r="F13" t="s">
        <v>37</v>
      </c>
      <c r="G13" t="s">
        <v>40</v>
      </c>
      <c r="H13" t="s">
        <v>22</v>
      </c>
      <c r="L13" t="s">
        <v>23</v>
      </c>
      <c r="M13" t="s">
        <v>24</v>
      </c>
      <c r="N13" t="s">
        <v>25</v>
      </c>
      <c r="Q13" s="5" t="s">
        <v>446</v>
      </c>
      <c r="R13" s="5" t="s">
        <v>39</v>
      </c>
      <c r="S13" s="5" t="s">
        <v>39</v>
      </c>
      <c r="T13" s="5">
        <v>1</v>
      </c>
      <c r="V13" s="5">
        <v>310.0684</v>
      </c>
      <c r="W13" s="5">
        <v>1.0971</v>
      </c>
      <c r="X13" s="5" t="s">
        <v>447</v>
      </c>
    </row>
    <row r="14" spans="1:24">
      <c r="A14" t="s">
        <v>41</v>
      </c>
      <c r="B14" t="s">
        <v>42</v>
      </c>
      <c r="C14" t="s">
        <v>43</v>
      </c>
      <c r="D14" t="s">
        <v>44</v>
      </c>
      <c r="E14" t="s">
        <v>20</v>
      </c>
      <c r="F14" t="s">
        <v>45</v>
      </c>
      <c r="G14" t="s">
        <v>46</v>
      </c>
      <c r="H14" t="s">
        <v>47</v>
      </c>
      <c r="I14" t="s">
        <v>48</v>
      </c>
      <c r="L14" t="s">
        <v>23</v>
      </c>
      <c r="M14" t="s">
        <v>24</v>
      </c>
      <c r="N14" t="s">
        <v>25</v>
      </c>
      <c r="Q14" s="5" t="s">
        <v>46</v>
      </c>
      <c r="R14" s="5" t="s">
        <v>43</v>
      </c>
      <c r="S14" s="5" t="s">
        <v>43</v>
      </c>
      <c r="T14" s="5">
        <v>1</v>
      </c>
      <c r="V14" s="5">
        <v>176.15729999999999</v>
      </c>
      <c r="W14" s="5">
        <v>1.1091</v>
      </c>
      <c r="X14" s="5" t="s">
        <v>448</v>
      </c>
    </row>
    <row r="15" spans="1:24">
      <c r="A15" t="s">
        <v>41</v>
      </c>
      <c r="B15" t="s">
        <v>42</v>
      </c>
      <c r="C15" t="s">
        <v>50</v>
      </c>
      <c r="D15" t="s">
        <v>19</v>
      </c>
      <c r="E15" t="s">
        <v>20</v>
      </c>
      <c r="F15" t="s">
        <v>45</v>
      </c>
      <c r="G15" t="s">
        <v>51</v>
      </c>
      <c r="H15" t="s">
        <v>22</v>
      </c>
      <c r="I15" t="s">
        <v>52</v>
      </c>
      <c r="L15" t="s">
        <v>23</v>
      </c>
      <c r="M15" t="s">
        <v>24</v>
      </c>
      <c r="N15" t="s">
        <v>25</v>
      </c>
      <c r="Q15" s="5" t="s">
        <v>51</v>
      </c>
      <c r="R15" s="5" t="s">
        <v>50</v>
      </c>
      <c r="S15" s="5" t="s">
        <v>50</v>
      </c>
      <c r="T15" s="5">
        <v>1</v>
      </c>
      <c r="V15" s="5">
        <v>185.02250000000001</v>
      </c>
      <c r="W15" s="5">
        <v>1.0166999999999999</v>
      </c>
      <c r="X15" s="5" t="s">
        <v>449</v>
      </c>
    </row>
    <row r="16" spans="1:24">
      <c r="A16" t="s">
        <v>53</v>
      </c>
      <c r="B16" t="s">
        <v>54</v>
      </c>
      <c r="C16" t="s">
        <v>55</v>
      </c>
      <c r="D16" t="s">
        <v>19</v>
      </c>
      <c r="E16" t="s">
        <v>20</v>
      </c>
      <c r="F16" t="s">
        <v>53</v>
      </c>
      <c r="G16" t="s">
        <v>56</v>
      </c>
      <c r="H16" t="s">
        <v>22</v>
      </c>
      <c r="I16" t="s">
        <v>57</v>
      </c>
      <c r="L16" t="s">
        <v>23</v>
      </c>
      <c r="M16" t="s">
        <v>24</v>
      </c>
      <c r="N16" t="s">
        <v>25</v>
      </c>
      <c r="Q16" s="5" t="s">
        <v>450</v>
      </c>
      <c r="R16" s="5" t="s">
        <v>55</v>
      </c>
      <c r="S16" s="5" t="s">
        <v>55</v>
      </c>
      <c r="T16" s="5">
        <v>1</v>
      </c>
      <c r="V16" s="5">
        <v>174.06059999999999</v>
      </c>
      <c r="W16" s="5">
        <v>1.0072000000000001</v>
      </c>
      <c r="X16" s="5" t="s">
        <v>451</v>
      </c>
    </row>
    <row r="17" spans="1:24">
      <c r="A17" t="s">
        <v>58</v>
      </c>
      <c r="B17" t="s">
        <v>59</v>
      </c>
      <c r="C17" t="s">
        <v>60</v>
      </c>
      <c r="D17" t="s">
        <v>44</v>
      </c>
      <c r="E17" t="s">
        <v>20</v>
      </c>
      <c r="F17" t="s">
        <v>61</v>
      </c>
      <c r="G17" t="s">
        <v>62</v>
      </c>
      <c r="H17" t="s">
        <v>47</v>
      </c>
      <c r="L17" t="s">
        <v>23</v>
      </c>
      <c r="M17" t="s">
        <v>24</v>
      </c>
      <c r="N17" t="s">
        <v>25</v>
      </c>
      <c r="Q17" s="5" t="s">
        <v>62</v>
      </c>
      <c r="R17" s="5" t="s">
        <v>60</v>
      </c>
      <c r="S17" s="5" t="s">
        <v>452</v>
      </c>
      <c r="T17" s="5"/>
      <c r="V17" s="5">
        <v>80.196700000000007</v>
      </c>
      <c r="W17" s="5">
        <v>0.98719999999999997</v>
      </c>
      <c r="X17" s="5" t="s">
        <v>453</v>
      </c>
    </row>
    <row r="18" spans="1:24">
      <c r="A18" t="s">
        <v>63</v>
      </c>
      <c r="B18" t="s">
        <v>64</v>
      </c>
      <c r="C18" t="s">
        <v>65</v>
      </c>
      <c r="D18" t="s">
        <v>19</v>
      </c>
      <c r="E18" t="s">
        <v>20</v>
      </c>
      <c r="F18" t="s">
        <v>66</v>
      </c>
      <c r="G18" t="s">
        <v>67</v>
      </c>
      <c r="H18" t="s">
        <v>22</v>
      </c>
      <c r="L18" t="s">
        <v>23</v>
      </c>
      <c r="M18" t="s">
        <v>24</v>
      </c>
      <c r="N18" t="s">
        <v>25</v>
      </c>
      <c r="Q18" s="5" t="s">
        <v>67</v>
      </c>
      <c r="R18" s="5" t="s">
        <v>65</v>
      </c>
      <c r="S18" s="5" t="s">
        <v>65</v>
      </c>
      <c r="T18" s="5">
        <v>1</v>
      </c>
      <c r="V18" s="5">
        <v>294.66340000000002</v>
      </c>
      <c r="W18" s="5">
        <v>1.0891</v>
      </c>
      <c r="X18" s="5" t="s">
        <v>454</v>
      </c>
    </row>
    <row r="19" spans="1:24">
      <c r="A19" t="s">
        <v>68</v>
      </c>
      <c r="B19" t="s">
        <v>69</v>
      </c>
      <c r="C19" t="s">
        <v>70</v>
      </c>
      <c r="D19" t="s">
        <v>19</v>
      </c>
      <c r="E19" t="s">
        <v>20</v>
      </c>
      <c r="F19" t="s">
        <v>71</v>
      </c>
      <c r="G19" t="s">
        <v>72</v>
      </c>
      <c r="H19" t="s">
        <v>22</v>
      </c>
      <c r="I19" t="s">
        <v>73</v>
      </c>
      <c r="L19" t="s">
        <v>23</v>
      </c>
      <c r="M19" t="s">
        <v>24</v>
      </c>
      <c r="N19" t="s">
        <v>25</v>
      </c>
      <c r="Q19" s="5" t="s">
        <v>72</v>
      </c>
      <c r="R19" s="5" t="s">
        <v>70</v>
      </c>
      <c r="S19" s="5" t="s">
        <v>70</v>
      </c>
      <c r="T19" s="5">
        <v>1</v>
      </c>
      <c r="V19" s="5">
        <v>81.579599999999999</v>
      </c>
      <c r="W19" s="5">
        <v>0.88980000000000004</v>
      </c>
      <c r="X19" s="5" t="s">
        <v>455</v>
      </c>
    </row>
    <row r="20" spans="1:24">
      <c r="A20" t="s">
        <v>68</v>
      </c>
      <c r="B20" t="s">
        <v>69</v>
      </c>
      <c r="C20" t="s">
        <v>70</v>
      </c>
      <c r="D20" t="s">
        <v>19</v>
      </c>
      <c r="E20" t="s">
        <v>20</v>
      </c>
      <c r="F20" t="s">
        <v>74</v>
      </c>
      <c r="G20" t="s">
        <v>75</v>
      </c>
      <c r="H20" t="s">
        <v>22</v>
      </c>
      <c r="I20" t="s">
        <v>73</v>
      </c>
      <c r="L20" t="s">
        <v>23</v>
      </c>
      <c r="M20" t="s">
        <v>24</v>
      </c>
      <c r="N20" t="s">
        <v>25</v>
      </c>
      <c r="Q20" s="5" t="s">
        <v>456</v>
      </c>
      <c r="R20" s="5" t="s">
        <v>70</v>
      </c>
      <c r="S20" s="5" t="s">
        <v>70</v>
      </c>
      <c r="T20" s="5"/>
      <c r="V20" s="5">
        <v>216.55529999999999</v>
      </c>
      <c r="W20" s="5">
        <v>1.0411999999999999</v>
      </c>
      <c r="X20" s="5" t="s">
        <v>457</v>
      </c>
    </row>
    <row r="21" spans="1:24">
      <c r="A21" t="s">
        <v>76</v>
      </c>
      <c r="B21" t="s">
        <v>77</v>
      </c>
      <c r="C21" t="s">
        <v>78</v>
      </c>
      <c r="D21" t="s">
        <v>79</v>
      </c>
      <c r="E21" t="s">
        <v>20</v>
      </c>
      <c r="F21" t="s">
        <v>80</v>
      </c>
      <c r="G21" t="s">
        <v>81</v>
      </c>
      <c r="H21" t="s">
        <v>82</v>
      </c>
      <c r="L21" t="s">
        <v>23</v>
      </c>
      <c r="M21" t="s">
        <v>24</v>
      </c>
      <c r="N21" t="s">
        <v>25</v>
      </c>
      <c r="Q21" s="5" t="s">
        <v>81</v>
      </c>
      <c r="R21" s="5" t="s">
        <v>78</v>
      </c>
      <c r="S21" s="5" t="s">
        <v>78</v>
      </c>
      <c r="T21" s="5">
        <v>1</v>
      </c>
      <c r="V21" s="5">
        <v>243.44720000000001</v>
      </c>
      <c r="W21" s="5">
        <v>1.0593999999999999</v>
      </c>
      <c r="X21" s="5" t="s">
        <v>458</v>
      </c>
    </row>
    <row r="22" spans="1:24">
      <c r="A22" t="s">
        <v>83</v>
      </c>
      <c r="B22" t="s">
        <v>84</v>
      </c>
      <c r="C22" t="s">
        <v>85</v>
      </c>
      <c r="D22" t="s">
        <v>79</v>
      </c>
      <c r="E22" t="s">
        <v>20</v>
      </c>
      <c r="F22" t="s">
        <v>86</v>
      </c>
      <c r="G22" t="s">
        <v>87</v>
      </c>
      <c r="H22" t="s">
        <v>82</v>
      </c>
      <c r="L22" t="s">
        <v>23</v>
      </c>
      <c r="M22" t="s">
        <v>24</v>
      </c>
      <c r="N22" t="s">
        <v>25</v>
      </c>
      <c r="Q22" s="5" t="s">
        <v>87</v>
      </c>
      <c r="R22" s="5" t="s">
        <v>85</v>
      </c>
      <c r="S22" s="5" t="s">
        <v>85</v>
      </c>
      <c r="T22" s="5">
        <v>1</v>
      </c>
      <c r="V22" s="5">
        <v>95.7898</v>
      </c>
      <c r="W22" s="5">
        <v>0.91459999999999997</v>
      </c>
      <c r="X22" s="5" t="s">
        <v>459</v>
      </c>
    </row>
    <row r="23" spans="1:24">
      <c r="A23" t="s">
        <v>88</v>
      </c>
      <c r="B23" t="s">
        <v>89</v>
      </c>
      <c r="C23" t="s">
        <v>90</v>
      </c>
      <c r="D23" t="s">
        <v>19</v>
      </c>
      <c r="E23" t="s">
        <v>20</v>
      </c>
      <c r="F23" t="s">
        <v>91</v>
      </c>
      <c r="G23" t="s">
        <v>92</v>
      </c>
      <c r="H23" t="s">
        <v>22</v>
      </c>
      <c r="I23" t="s">
        <v>93</v>
      </c>
      <c r="L23" t="s">
        <v>23</v>
      </c>
      <c r="M23" t="s">
        <v>24</v>
      </c>
      <c r="N23" t="s">
        <v>25</v>
      </c>
      <c r="Q23" s="5" t="s">
        <v>92</v>
      </c>
      <c r="R23" s="5" t="s">
        <v>90</v>
      </c>
      <c r="S23" s="5" t="s">
        <v>90</v>
      </c>
      <c r="T23" s="5">
        <v>1</v>
      </c>
      <c r="V23" s="5">
        <v>764.13829999999996</v>
      </c>
      <c r="W23" s="5">
        <v>1.2</v>
      </c>
      <c r="X23" s="5" t="s">
        <v>460</v>
      </c>
    </row>
    <row r="24" spans="1:24">
      <c r="A24" t="s">
        <v>94</v>
      </c>
      <c r="B24" t="s">
        <v>95</v>
      </c>
      <c r="C24" t="s">
        <v>96</v>
      </c>
      <c r="D24" t="s">
        <v>44</v>
      </c>
      <c r="E24" t="s">
        <v>20</v>
      </c>
      <c r="F24" t="s">
        <v>94</v>
      </c>
      <c r="G24" t="s">
        <v>97</v>
      </c>
      <c r="H24" t="s">
        <v>47</v>
      </c>
      <c r="I24" t="s">
        <v>98</v>
      </c>
      <c r="L24" t="s">
        <v>23</v>
      </c>
      <c r="M24" t="s">
        <v>24</v>
      </c>
      <c r="N24" t="s">
        <v>25</v>
      </c>
      <c r="Q24" s="5" t="s">
        <v>97</v>
      </c>
      <c r="R24" s="5" t="s">
        <v>96</v>
      </c>
      <c r="S24" s="5" t="s">
        <v>452</v>
      </c>
      <c r="T24" s="5">
        <v>2</v>
      </c>
      <c r="V24" s="5">
        <v>80.196700000000007</v>
      </c>
      <c r="W24" s="5">
        <v>0.98719999999999997</v>
      </c>
      <c r="X24" s="5" t="s">
        <v>461</v>
      </c>
    </row>
    <row r="25" spans="1:24">
      <c r="A25" t="s">
        <v>99</v>
      </c>
      <c r="B25" t="s">
        <v>100</v>
      </c>
      <c r="C25" t="s">
        <v>101</v>
      </c>
      <c r="D25" t="s">
        <v>44</v>
      </c>
      <c r="E25" t="s">
        <v>20</v>
      </c>
      <c r="F25" t="s">
        <v>102</v>
      </c>
      <c r="G25" t="s">
        <v>103</v>
      </c>
      <c r="H25" t="s">
        <v>47</v>
      </c>
      <c r="I25" t="s">
        <v>104</v>
      </c>
      <c r="L25" t="s">
        <v>23</v>
      </c>
      <c r="M25" t="s">
        <v>24</v>
      </c>
      <c r="N25" t="s">
        <v>25</v>
      </c>
      <c r="Q25" s="5" t="s">
        <v>103</v>
      </c>
      <c r="R25" s="5" t="s">
        <v>101</v>
      </c>
      <c r="S25" s="5" t="s">
        <v>101</v>
      </c>
      <c r="T25" s="5">
        <v>1</v>
      </c>
      <c r="V25" s="5">
        <v>269.404</v>
      </c>
      <c r="W25" s="5">
        <v>1.1752</v>
      </c>
      <c r="X25" s="5" t="s">
        <v>462</v>
      </c>
    </row>
    <row r="26" spans="1:24">
      <c r="A26" t="s">
        <v>105</v>
      </c>
      <c r="B26" t="s">
        <v>106</v>
      </c>
      <c r="C26" t="s">
        <v>107</v>
      </c>
      <c r="D26" t="s">
        <v>19</v>
      </c>
      <c r="E26" t="s">
        <v>20</v>
      </c>
      <c r="F26" t="s">
        <v>108</v>
      </c>
      <c r="G26" t="s">
        <v>109</v>
      </c>
      <c r="H26" t="s">
        <v>22</v>
      </c>
      <c r="I26" t="s">
        <v>110</v>
      </c>
      <c r="L26" t="s">
        <v>23</v>
      </c>
      <c r="M26" t="s">
        <v>24</v>
      </c>
      <c r="N26" t="s">
        <v>25</v>
      </c>
      <c r="Q26" s="5" t="s">
        <v>109</v>
      </c>
      <c r="R26" s="5" t="s">
        <v>107</v>
      </c>
      <c r="S26" s="5" t="s">
        <v>107</v>
      </c>
      <c r="T26" s="5">
        <v>1</v>
      </c>
      <c r="V26" s="5">
        <v>131.11080000000001</v>
      </c>
      <c r="W26" s="5">
        <v>0.96319999999999995</v>
      </c>
      <c r="X26" s="5" t="s">
        <v>463</v>
      </c>
    </row>
    <row r="27" spans="1:24">
      <c r="A27" t="s">
        <v>111</v>
      </c>
      <c r="B27" t="s">
        <v>112</v>
      </c>
      <c r="C27" t="s">
        <v>113</v>
      </c>
      <c r="D27" t="s">
        <v>19</v>
      </c>
      <c r="E27" t="s">
        <v>20</v>
      </c>
      <c r="F27" t="s">
        <v>111</v>
      </c>
      <c r="G27" t="s">
        <v>114</v>
      </c>
      <c r="H27" t="s">
        <v>22</v>
      </c>
      <c r="L27" t="s">
        <v>23</v>
      </c>
      <c r="M27" t="s">
        <v>24</v>
      </c>
      <c r="N27" t="s">
        <v>25</v>
      </c>
      <c r="Q27" s="5" t="s">
        <v>114</v>
      </c>
      <c r="R27" s="5" t="s">
        <v>113</v>
      </c>
      <c r="S27" s="5" t="s">
        <v>113</v>
      </c>
      <c r="T27" s="5">
        <v>1</v>
      </c>
      <c r="V27" s="5">
        <v>82.384299999999996</v>
      </c>
      <c r="W27" s="5">
        <v>0.89129999999999998</v>
      </c>
      <c r="X27" s="5" t="s">
        <v>464</v>
      </c>
    </row>
    <row r="28" spans="1:24">
      <c r="A28" t="s">
        <v>115</v>
      </c>
      <c r="B28" t="s">
        <v>116</v>
      </c>
      <c r="C28" t="s">
        <v>117</v>
      </c>
      <c r="D28" t="s">
        <v>19</v>
      </c>
      <c r="E28" t="s">
        <v>20</v>
      </c>
      <c r="F28" t="s">
        <v>118</v>
      </c>
      <c r="G28" t="s">
        <v>119</v>
      </c>
      <c r="H28" t="s">
        <v>22</v>
      </c>
      <c r="I28" t="s">
        <v>120</v>
      </c>
      <c r="L28" t="s">
        <v>23</v>
      </c>
      <c r="M28" t="s">
        <v>24</v>
      </c>
      <c r="N28" t="s">
        <v>25</v>
      </c>
      <c r="Q28" s="5" t="s">
        <v>119</v>
      </c>
      <c r="R28" s="5" t="s">
        <v>117</v>
      </c>
      <c r="S28" s="5" t="s">
        <v>465</v>
      </c>
      <c r="T28" s="5">
        <v>3</v>
      </c>
      <c r="V28" s="5">
        <v>61.276899999999998</v>
      </c>
      <c r="W28" s="5">
        <v>0.84570000000000001</v>
      </c>
      <c r="X28" s="5" t="s">
        <v>466</v>
      </c>
    </row>
    <row r="29" spans="1:24">
      <c r="A29" t="s">
        <v>115</v>
      </c>
      <c r="B29" t="s">
        <v>116</v>
      </c>
      <c r="C29" t="s">
        <v>117</v>
      </c>
      <c r="D29" t="s">
        <v>19</v>
      </c>
      <c r="E29" t="s">
        <v>20</v>
      </c>
      <c r="F29" t="s">
        <v>121</v>
      </c>
      <c r="G29" t="s">
        <v>122</v>
      </c>
      <c r="H29" t="s">
        <v>22</v>
      </c>
      <c r="I29" t="s">
        <v>123</v>
      </c>
      <c r="L29" t="s">
        <v>23</v>
      </c>
      <c r="M29" t="s">
        <v>24</v>
      </c>
      <c r="N29" t="s">
        <v>25</v>
      </c>
      <c r="Q29" s="5" t="s">
        <v>122</v>
      </c>
      <c r="R29" s="5" t="s">
        <v>117</v>
      </c>
      <c r="S29" s="5" t="s">
        <v>117</v>
      </c>
      <c r="T29" s="5">
        <v>1</v>
      </c>
      <c r="V29" s="5">
        <v>276.42349999999999</v>
      </c>
      <c r="W29" s="5">
        <v>1.0791999999999999</v>
      </c>
      <c r="X29" s="5" t="s">
        <v>467</v>
      </c>
    </row>
    <row r="30" spans="1:24">
      <c r="A30" t="s">
        <v>124</v>
      </c>
      <c r="B30" t="s">
        <v>125</v>
      </c>
      <c r="C30" t="s">
        <v>126</v>
      </c>
      <c r="D30" t="s">
        <v>127</v>
      </c>
      <c r="E30" t="s">
        <v>127</v>
      </c>
      <c r="F30" t="s">
        <v>128</v>
      </c>
      <c r="G30" t="s">
        <v>128</v>
      </c>
      <c r="L30" t="s">
        <v>23</v>
      </c>
      <c r="M30" t="s">
        <v>24</v>
      </c>
      <c r="N30" t="s">
        <v>25</v>
      </c>
      <c r="Q30" s="5" t="s">
        <v>128</v>
      </c>
      <c r="R30" s="5" t="s">
        <v>126</v>
      </c>
      <c r="S30" s="5" t="s">
        <v>468</v>
      </c>
      <c r="T30" s="5">
        <v>3</v>
      </c>
      <c r="V30" s="5">
        <v>146.48779999999999</v>
      </c>
      <c r="W30" s="5">
        <v>0.78039999999999998</v>
      </c>
      <c r="X30" s="5" t="s">
        <v>469</v>
      </c>
    </row>
    <row r="31" spans="1:24">
      <c r="A31" t="s">
        <v>129</v>
      </c>
      <c r="B31" t="s">
        <v>130</v>
      </c>
      <c r="C31" t="s">
        <v>131</v>
      </c>
      <c r="D31" t="s">
        <v>127</v>
      </c>
      <c r="E31" t="s">
        <v>127</v>
      </c>
      <c r="F31" t="s">
        <v>132</v>
      </c>
      <c r="G31" t="s">
        <v>133</v>
      </c>
      <c r="L31" t="s">
        <v>23</v>
      </c>
      <c r="M31" t="s">
        <v>24</v>
      </c>
      <c r="N31" t="s">
        <v>25</v>
      </c>
      <c r="Q31" s="5" t="s">
        <v>133</v>
      </c>
      <c r="R31" s="5" t="s">
        <v>131</v>
      </c>
      <c r="S31" s="5" t="s">
        <v>470</v>
      </c>
      <c r="T31" s="5">
        <v>3</v>
      </c>
      <c r="V31" s="5">
        <v>211.46199999999999</v>
      </c>
      <c r="W31" s="5">
        <v>0.83750000000000002</v>
      </c>
      <c r="X31" s="5" t="s">
        <v>471</v>
      </c>
    </row>
    <row r="32" spans="1:24">
      <c r="A32" t="s">
        <v>134</v>
      </c>
      <c r="B32" t="s">
        <v>135</v>
      </c>
      <c r="C32" t="s">
        <v>136</v>
      </c>
      <c r="D32" t="s">
        <v>19</v>
      </c>
      <c r="E32" t="s">
        <v>20</v>
      </c>
      <c r="F32" t="s">
        <v>134</v>
      </c>
      <c r="G32" t="s">
        <v>137</v>
      </c>
      <c r="H32" t="s">
        <v>22</v>
      </c>
      <c r="L32" t="s">
        <v>23</v>
      </c>
      <c r="M32" t="s">
        <v>24</v>
      </c>
      <c r="N32" t="s">
        <v>25</v>
      </c>
      <c r="Q32" s="5" t="s">
        <v>137</v>
      </c>
      <c r="R32" s="5" t="s">
        <v>136</v>
      </c>
      <c r="S32" s="5" t="s">
        <v>136</v>
      </c>
      <c r="T32" s="5">
        <v>1</v>
      </c>
      <c r="V32" s="5">
        <v>248.06489999999999</v>
      </c>
      <c r="W32" s="5">
        <v>1.0623</v>
      </c>
      <c r="X32" s="5" t="s">
        <v>472</v>
      </c>
    </row>
    <row r="33" spans="1:24">
      <c r="A33" t="s">
        <v>138</v>
      </c>
      <c r="B33" t="s">
        <v>84</v>
      </c>
      <c r="C33" t="s">
        <v>139</v>
      </c>
      <c r="D33" t="s">
        <v>19</v>
      </c>
      <c r="E33" t="s">
        <v>20</v>
      </c>
      <c r="F33" t="s">
        <v>86</v>
      </c>
      <c r="G33" t="s">
        <v>140</v>
      </c>
      <c r="H33" t="s">
        <v>22</v>
      </c>
      <c r="I33" t="s">
        <v>141</v>
      </c>
      <c r="L33" t="s">
        <v>23</v>
      </c>
      <c r="M33" t="s">
        <v>24</v>
      </c>
      <c r="N33" t="s">
        <v>25</v>
      </c>
      <c r="Q33" s="5" t="s">
        <v>140</v>
      </c>
      <c r="R33" s="5" t="s">
        <v>139</v>
      </c>
      <c r="S33" s="5" t="s">
        <v>473</v>
      </c>
      <c r="T33" s="5">
        <v>2</v>
      </c>
      <c r="V33" s="5">
        <v>105.8326</v>
      </c>
      <c r="W33" s="5">
        <v>0.93</v>
      </c>
      <c r="X33" s="5" t="s">
        <v>474</v>
      </c>
    </row>
    <row r="34" spans="1:24">
      <c r="A34" t="s">
        <v>142</v>
      </c>
      <c r="B34" t="s">
        <v>143</v>
      </c>
      <c r="C34" t="s">
        <v>144</v>
      </c>
      <c r="D34" t="s">
        <v>19</v>
      </c>
      <c r="E34" t="s">
        <v>20</v>
      </c>
      <c r="F34" t="s">
        <v>145</v>
      </c>
      <c r="G34" t="s">
        <v>146</v>
      </c>
      <c r="H34" t="s">
        <v>22</v>
      </c>
      <c r="L34" t="s">
        <v>23</v>
      </c>
      <c r="M34" t="s">
        <v>24</v>
      </c>
      <c r="N34" t="s">
        <v>25</v>
      </c>
      <c r="Q34" s="5" t="s">
        <v>146</v>
      </c>
      <c r="R34" s="5" t="s">
        <v>144</v>
      </c>
      <c r="S34" s="5" t="s">
        <v>144</v>
      </c>
      <c r="T34" s="5">
        <v>1</v>
      </c>
      <c r="V34" s="5">
        <v>130.64340000000001</v>
      </c>
      <c r="W34" s="5">
        <v>0.9627</v>
      </c>
      <c r="X34" s="5" t="s">
        <v>475</v>
      </c>
    </row>
    <row r="35" spans="1:24">
      <c r="A35" t="s">
        <v>147</v>
      </c>
      <c r="B35" t="s">
        <v>148</v>
      </c>
      <c r="C35" t="s">
        <v>149</v>
      </c>
      <c r="D35" t="s">
        <v>19</v>
      </c>
      <c r="E35" t="s">
        <v>20</v>
      </c>
      <c r="F35" t="s">
        <v>147</v>
      </c>
      <c r="G35" t="s">
        <v>150</v>
      </c>
      <c r="H35" t="s">
        <v>22</v>
      </c>
      <c r="I35" t="s">
        <v>151</v>
      </c>
      <c r="L35" t="s">
        <v>23</v>
      </c>
      <c r="M35" t="s">
        <v>24</v>
      </c>
      <c r="N35" t="s">
        <v>25</v>
      </c>
      <c r="Q35" s="5" t="s">
        <v>150</v>
      </c>
      <c r="R35" s="5" t="s">
        <v>149</v>
      </c>
      <c r="S35" s="5" t="s">
        <v>149</v>
      </c>
      <c r="T35" s="5">
        <v>1</v>
      </c>
      <c r="V35" s="5">
        <v>77.288200000000003</v>
      </c>
      <c r="W35" s="5">
        <v>0.88149999999999995</v>
      </c>
      <c r="X35" s="5" t="s">
        <v>476</v>
      </c>
    </row>
    <row r="36" spans="1:24" s="2" customFormat="1">
      <c r="A36" s="2" t="s">
        <v>152</v>
      </c>
      <c r="B36" s="2" t="s">
        <v>152</v>
      </c>
      <c r="C36" s="2" t="s">
        <v>153</v>
      </c>
      <c r="D36" s="2" t="s">
        <v>19</v>
      </c>
      <c r="E36" s="2" t="s">
        <v>20</v>
      </c>
      <c r="F36" s="2" t="s">
        <v>154</v>
      </c>
      <c r="G36" s="2" t="s">
        <v>155</v>
      </c>
      <c r="H36" s="2" t="s">
        <v>22</v>
      </c>
      <c r="I36" s="2" t="s">
        <v>156</v>
      </c>
      <c r="L36" t="s">
        <v>23</v>
      </c>
      <c r="M36" t="s">
        <v>24</v>
      </c>
      <c r="N36" t="s">
        <v>49</v>
      </c>
      <c r="Q36" s="5" t="s">
        <v>155</v>
      </c>
      <c r="R36" s="5" t="s">
        <v>153</v>
      </c>
      <c r="S36" s="5" t="s">
        <v>153</v>
      </c>
      <c r="T36" s="5">
        <v>1</v>
      </c>
      <c r="V36" s="5">
        <v>44.445999999999998</v>
      </c>
      <c r="W36" s="5">
        <v>0.79649999999999999</v>
      </c>
      <c r="X36" s="5" t="s">
        <v>477</v>
      </c>
    </row>
    <row r="37" spans="1:24">
      <c r="A37" s="2" t="s">
        <v>157</v>
      </c>
      <c r="B37" s="2" t="s">
        <v>158</v>
      </c>
      <c r="C37" s="2" t="s">
        <v>159</v>
      </c>
      <c r="D37" s="2" t="s">
        <v>19</v>
      </c>
      <c r="E37" s="2" t="s">
        <v>20</v>
      </c>
      <c r="F37" s="2" t="s">
        <v>157</v>
      </c>
      <c r="G37" s="2" t="s">
        <v>160</v>
      </c>
      <c r="H37" s="2" t="s">
        <v>22</v>
      </c>
      <c r="I37" s="2" t="s">
        <v>161</v>
      </c>
      <c r="J37" s="2"/>
      <c r="K37" s="2"/>
      <c r="L37" t="s">
        <v>23</v>
      </c>
      <c r="M37" t="s">
        <v>24</v>
      </c>
      <c r="N37" t="s">
        <v>25</v>
      </c>
      <c r="Q37" s="5" t="s">
        <v>160</v>
      </c>
      <c r="R37" s="5" t="s">
        <v>159</v>
      </c>
      <c r="S37" s="5" t="s">
        <v>159</v>
      </c>
      <c r="T37" s="5">
        <v>1</v>
      </c>
      <c r="V37" s="5">
        <v>134.6472</v>
      </c>
      <c r="W37" s="5">
        <v>0.96740000000000004</v>
      </c>
      <c r="X37" s="5" t="s">
        <v>478</v>
      </c>
    </row>
    <row r="38" spans="1:24">
      <c r="A38" s="2" t="s">
        <v>162</v>
      </c>
      <c r="B38" s="2" t="s">
        <v>163</v>
      </c>
      <c r="C38" s="2" t="s">
        <v>164</v>
      </c>
      <c r="D38" s="2" t="s">
        <v>19</v>
      </c>
      <c r="E38" s="2" t="s">
        <v>20</v>
      </c>
      <c r="F38" s="2" t="s">
        <v>165</v>
      </c>
      <c r="G38" s="2" t="s">
        <v>166</v>
      </c>
      <c r="H38" s="2" t="s">
        <v>22</v>
      </c>
      <c r="I38" s="2" t="s">
        <v>167</v>
      </c>
      <c r="J38" s="2"/>
      <c r="K38" s="2"/>
      <c r="L38" t="s">
        <v>23</v>
      </c>
      <c r="M38" t="s">
        <v>24</v>
      </c>
      <c r="N38" t="s">
        <v>49</v>
      </c>
      <c r="Q38" s="5" t="s">
        <v>166</v>
      </c>
      <c r="R38" s="5" t="s">
        <v>164</v>
      </c>
      <c r="S38" s="5" t="s">
        <v>169</v>
      </c>
      <c r="T38" s="5"/>
      <c r="V38" s="5">
        <v>274.976</v>
      </c>
      <c r="W38" s="5">
        <v>1.0784</v>
      </c>
      <c r="X38" s="5" t="s">
        <v>479</v>
      </c>
    </row>
    <row r="39" spans="1:24">
      <c r="A39" s="2" t="s">
        <v>165</v>
      </c>
      <c r="B39" s="2" t="s">
        <v>168</v>
      </c>
      <c r="C39" s="2" t="s">
        <v>169</v>
      </c>
      <c r="D39" s="2" t="s">
        <v>19</v>
      </c>
      <c r="E39" s="2" t="s">
        <v>20</v>
      </c>
      <c r="F39" s="2" t="s">
        <v>165</v>
      </c>
      <c r="G39" s="2" t="s">
        <v>170</v>
      </c>
      <c r="H39" s="2" t="s">
        <v>22</v>
      </c>
      <c r="I39" s="2" t="s">
        <v>171</v>
      </c>
      <c r="J39" s="2"/>
      <c r="K39" s="2"/>
      <c r="L39" t="s">
        <v>23</v>
      </c>
      <c r="M39" t="s">
        <v>24</v>
      </c>
      <c r="N39" t="s">
        <v>49</v>
      </c>
      <c r="Q39" s="5" t="s">
        <v>170</v>
      </c>
      <c r="R39" s="5" t="s">
        <v>169</v>
      </c>
      <c r="S39" s="5" t="s">
        <v>169</v>
      </c>
      <c r="T39" s="5">
        <v>1</v>
      </c>
      <c r="V39" s="5">
        <v>274.976</v>
      </c>
      <c r="W39" s="5">
        <v>1.0784</v>
      </c>
      <c r="X39" s="5" t="s">
        <v>479</v>
      </c>
    </row>
    <row r="40" spans="1:24">
      <c r="A40" s="2" t="s">
        <v>172</v>
      </c>
      <c r="B40" s="2" t="s">
        <v>173</v>
      </c>
      <c r="C40" s="2" t="s">
        <v>174</v>
      </c>
      <c r="D40" s="2" t="s">
        <v>19</v>
      </c>
      <c r="E40" s="2" t="s">
        <v>20</v>
      </c>
      <c r="F40" s="2" t="s">
        <v>175</v>
      </c>
      <c r="G40" s="2" t="s">
        <v>176</v>
      </c>
      <c r="H40" s="2"/>
      <c r="I40" s="2"/>
      <c r="J40" s="2"/>
      <c r="K40" s="2"/>
      <c r="L40" t="s">
        <v>23</v>
      </c>
      <c r="M40" t="s">
        <v>24</v>
      </c>
      <c r="N40" t="s">
        <v>49</v>
      </c>
      <c r="Q40" s="5" t="s">
        <v>176</v>
      </c>
      <c r="R40" s="5" t="s">
        <v>174</v>
      </c>
      <c r="S40" s="5" t="s">
        <v>452</v>
      </c>
      <c r="T40" s="5">
        <v>5</v>
      </c>
      <c r="V40" s="5">
        <v>80.196700000000007</v>
      </c>
      <c r="W40" s="5">
        <v>0.98719999999999997</v>
      </c>
      <c r="X40" s="5" t="s">
        <v>480</v>
      </c>
    </row>
    <row r="41" spans="1:24">
      <c r="A41" s="2" t="s">
        <v>172</v>
      </c>
      <c r="B41" s="2" t="s">
        <v>173</v>
      </c>
      <c r="C41" s="2" t="s">
        <v>174</v>
      </c>
      <c r="D41" s="2" t="s">
        <v>19</v>
      </c>
      <c r="E41" s="2" t="s">
        <v>20</v>
      </c>
      <c r="F41" s="2" t="s">
        <v>175</v>
      </c>
      <c r="G41" s="2" t="s">
        <v>176</v>
      </c>
      <c r="H41" s="2"/>
      <c r="I41" s="2"/>
      <c r="J41" s="2"/>
      <c r="K41" s="2"/>
      <c r="L41" t="s">
        <v>23</v>
      </c>
      <c r="M41" t="s">
        <v>24</v>
      </c>
      <c r="N41" t="s">
        <v>49</v>
      </c>
      <c r="Q41" s="5" t="s">
        <v>176</v>
      </c>
      <c r="R41" s="5" t="s">
        <v>174</v>
      </c>
      <c r="S41" s="5" t="s">
        <v>452</v>
      </c>
      <c r="T41" s="5">
        <v>5</v>
      </c>
      <c r="V41" s="5">
        <v>80.196700000000007</v>
      </c>
      <c r="W41" s="5">
        <v>0.98719999999999997</v>
      </c>
      <c r="X41" s="5" t="s">
        <v>480</v>
      </c>
    </row>
    <row r="42" spans="1:24">
      <c r="A42" t="s">
        <v>16</v>
      </c>
      <c r="B42" t="s">
        <v>17</v>
      </c>
      <c r="C42" t="s">
        <v>177</v>
      </c>
      <c r="D42" t="s">
        <v>44</v>
      </c>
      <c r="E42" t="s">
        <v>20</v>
      </c>
      <c r="F42" t="s">
        <v>178</v>
      </c>
      <c r="H42" t="s">
        <v>179</v>
      </c>
      <c r="J42">
        <v>15670</v>
      </c>
      <c r="L42" t="s">
        <v>180</v>
      </c>
      <c r="M42" t="s">
        <v>24</v>
      </c>
      <c r="N42" t="s">
        <v>49</v>
      </c>
      <c r="Q42" s="5" t="s">
        <v>481</v>
      </c>
      <c r="R42" s="5" t="s">
        <v>177</v>
      </c>
      <c r="S42" s="5" t="s">
        <v>452</v>
      </c>
      <c r="T42" s="5"/>
      <c r="V42" s="5">
        <v>80.196700000000007</v>
      </c>
      <c r="W42" s="5">
        <v>0.98719999999999997</v>
      </c>
      <c r="X42" s="5" t="s">
        <v>482</v>
      </c>
    </row>
    <row r="43" spans="1:24">
      <c r="A43" t="s">
        <v>26</v>
      </c>
      <c r="B43" t="s">
        <v>27</v>
      </c>
      <c r="C43" t="s">
        <v>181</v>
      </c>
      <c r="D43" t="s">
        <v>127</v>
      </c>
      <c r="E43" t="s">
        <v>127</v>
      </c>
      <c r="F43" t="s">
        <v>182</v>
      </c>
      <c r="H43" t="s">
        <v>183</v>
      </c>
      <c r="J43">
        <v>12867</v>
      </c>
      <c r="L43" t="s">
        <v>180</v>
      </c>
      <c r="M43" t="s">
        <v>24</v>
      </c>
      <c r="N43" t="s">
        <v>421</v>
      </c>
      <c r="Q43" s="5" t="s">
        <v>483</v>
      </c>
      <c r="R43" s="5" t="s">
        <v>181</v>
      </c>
      <c r="S43" s="5" t="s">
        <v>181</v>
      </c>
      <c r="T43" s="5">
        <v>1</v>
      </c>
      <c r="V43" s="5">
        <v>337.46859999999998</v>
      </c>
      <c r="W43" s="5">
        <v>1.1103000000000001</v>
      </c>
      <c r="X43" s="5" t="s">
        <v>484</v>
      </c>
    </row>
    <row r="44" spans="1:24">
      <c r="A44" t="s">
        <v>184</v>
      </c>
      <c r="B44" t="s">
        <v>185</v>
      </c>
      <c r="C44" t="s">
        <v>186</v>
      </c>
      <c r="D44" t="s">
        <v>19</v>
      </c>
      <c r="E44" t="s">
        <v>20</v>
      </c>
      <c r="F44" t="s">
        <v>187</v>
      </c>
      <c r="H44" t="s">
        <v>188</v>
      </c>
      <c r="J44">
        <v>15010</v>
      </c>
      <c r="L44" t="s">
        <v>180</v>
      </c>
      <c r="M44" t="s">
        <v>24</v>
      </c>
      <c r="N44" t="s">
        <v>25</v>
      </c>
      <c r="Q44" s="5" t="s">
        <v>485</v>
      </c>
      <c r="R44" s="5" t="s">
        <v>186</v>
      </c>
      <c r="S44" s="5" t="s">
        <v>486</v>
      </c>
      <c r="T44" s="5">
        <v>2</v>
      </c>
      <c r="V44" s="5">
        <v>125.9674</v>
      </c>
      <c r="W44" s="5">
        <v>0.95699999999999996</v>
      </c>
      <c r="X44" s="5" t="s">
        <v>487</v>
      </c>
    </row>
    <row r="45" spans="1:24">
      <c r="A45" t="s">
        <v>53</v>
      </c>
      <c r="B45" t="s">
        <v>54</v>
      </c>
      <c r="C45" t="s">
        <v>55</v>
      </c>
      <c r="D45" t="s">
        <v>19</v>
      </c>
      <c r="E45" t="s">
        <v>20</v>
      </c>
      <c r="F45" t="s">
        <v>53</v>
      </c>
      <c r="H45" t="s">
        <v>189</v>
      </c>
      <c r="J45">
        <v>5628</v>
      </c>
      <c r="L45" t="s">
        <v>180</v>
      </c>
      <c r="M45" t="s">
        <v>24</v>
      </c>
      <c r="N45" t="s">
        <v>25</v>
      </c>
      <c r="Q45" s="5" t="s">
        <v>488</v>
      </c>
      <c r="R45" s="5" t="s">
        <v>55</v>
      </c>
      <c r="S45" s="5" t="s">
        <v>55</v>
      </c>
      <c r="T45" s="5">
        <v>1</v>
      </c>
      <c r="V45" s="5">
        <v>174.06059999999999</v>
      </c>
      <c r="W45" s="5">
        <v>1.0072000000000001</v>
      </c>
      <c r="X45" s="5" t="s">
        <v>451</v>
      </c>
    </row>
    <row r="46" spans="1:24">
      <c r="A46" t="s">
        <v>190</v>
      </c>
      <c r="B46" t="s">
        <v>191</v>
      </c>
      <c r="C46" t="s">
        <v>192</v>
      </c>
      <c r="D46" t="s">
        <v>19</v>
      </c>
      <c r="E46" t="s">
        <v>20</v>
      </c>
      <c r="F46" t="s">
        <v>193</v>
      </c>
      <c r="H46" t="s">
        <v>22</v>
      </c>
      <c r="J46">
        <v>3130</v>
      </c>
      <c r="L46" t="s">
        <v>180</v>
      </c>
      <c r="M46" t="s">
        <v>24</v>
      </c>
      <c r="N46" t="s">
        <v>25</v>
      </c>
      <c r="Q46" s="5" t="s">
        <v>489</v>
      </c>
      <c r="R46" s="5" t="s">
        <v>192</v>
      </c>
      <c r="S46" s="5" t="s">
        <v>192</v>
      </c>
      <c r="T46" s="5">
        <v>1</v>
      </c>
      <c r="V46" s="5">
        <v>259.71879999999999</v>
      </c>
      <c r="W46" s="5">
        <v>1.0694999999999999</v>
      </c>
      <c r="X46" s="5" t="s">
        <v>490</v>
      </c>
    </row>
    <row r="47" spans="1:24">
      <c r="A47" t="s">
        <v>68</v>
      </c>
      <c r="B47" t="s">
        <v>69</v>
      </c>
      <c r="C47" t="s">
        <v>70</v>
      </c>
      <c r="D47" t="s">
        <v>19</v>
      </c>
      <c r="E47" t="s">
        <v>20</v>
      </c>
      <c r="F47" t="s">
        <v>194</v>
      </c>
      <c r="H47" t="s">
        <v>189</v>
      </c>
      <c r="J47">
        <v>3155</v>
      </c>
      <c r="L47" t="s">
        <v>180</v>
      </c>
      <c r="M47" t="s">
        <v>24</v>
      </c>
      <c r="N47" t="s">
        <v>25</v>
      </c>
      <c r="Q47" s="5" t="s">
        <v>491</v>
      </c>
      <c r="R47" s="5" t="s">
        <v>70</v>
      </c>
      <c r="S47" s="5" t="s">
        <v>70</v>
      </c>
      <c r="T47" s="5">
        <v>1</v>
      </c>
      <c r="V47" s="5">
        <v>197.47219999999999</v>
      </c>
      <c r="W47" s="5">
        <v>1.0267999999999999</v>
      </c>
      <c r="X47" s="5" t="s">
        <v>492</v>
      </c>
    </row>
    <row r="48" spans="1:24">
      <c r="A48" t="s">
        <v>195</v>
      </c>
      <c r="B48" t="s">
        <v>196</v>
      </c>
      <c r="C48" t="s">
        <v>197</v>
      </c>
      <c r="D48" t="s">
        <v>19</v>
      </c>
      <c r="E48" t="s">
        <v>20</v>
      </c>
      <c r="F48" t="s">
        <v>198</v>
      </c>
      <c r="H48" t="s">
        <v>189</v>
      </c>
      <c r="J48">
        <v>3098</v>
      </c>
      <c r="L48" t="s">
        <v>180</v>
      </c>
      <c r="M48" t="s">
        <v>24</v>
      </c>
      <c r="N48" t="s">
        <v>25</v>
      </c>
      <c r="Q48" s="5" t="s">
        <v>493</v>
      </c>
      <c r="R48" s="5" t="s">
        <v>197</v>
      </c>
      <c r="S48" s="5" t="s">
        <v>197</v>
      </c>
      <c r="T48" s="5">
        <v>1</v>
      </c>
      <c r="V48" s="5">
        <v>139.83090000000001</v>
      </c>
      <c r="W48" s="5">
        <v>0.97319999999999995</v>
      </c>
      <c r="X48" s="5" t="s">
        <v>494</v>
      </c>
    </row>
    <row r="49" spans="1:24">
      <c r="A49" t="s">
        <v>199</v>
      </c>
      <c r="B49" t="s">
        <v>200</v>
      </c>
      <c r="C49" t="s">
        <v>201</v>
      </c>
      <c r="D49" t="s">
        <v>19</v>
      </c>
      <c r="E49" t="s">
        <v>20</v>
      </c>
      <c r="F49" t="s">
        <v>202</v>
      </c>
      <c r="H49" t="s">
        <v>203</v>
      </c>
      <c r="J49">
        <v>3240</v>
      </c>
      <c r="L49" t="s">
        <v>180</v>
      </c>
      <c r="M49" t="s">
        <v>24</v>
      </c>
      <c r="N49" t="s">
        <v>25</v>
      </c>
      <c r="Q49" s="5" t="s">
        <v>495</v>
      </c>
      <c r="R49" s="5" t="s">
        <v>201</v>
      </c>
      <c r="S49" s="5" t="s">
        <v>201</v>
      </c>
      <c r="T49" s="5">
        <v>1</v>
      </c>
      <c r="V49" s="5">
        <v>70.906000000000006</v>
      </c>
      <c r="W49" s="5">
        <v>0.86819999999999997</v>
      </c>
      <c r="X49" s="5" t="s">
        <v>496</v>
      </c>
    </row>
    <row r="50" spans="1:24">
      <c r="A50" t="s">
        <v>204</v>
      </c>
      <c r="B50" t="s">
        <v>205</v>
      </c>
      <c r="C50" t="s">
        <v>206</v>
      </c>
      <c r="D50" t="s">
        <v>19</v>
      </c>
      <c r="E50" t="s">
        <v>20</v>
      </c>
      <c r="F50" t="s">
        <v>207</v>
      </c>
      <c r="H50" t="s">
        <v>208</v>
      </c>
      <c r="J50">
        <v>10566</v>
      </c>
      <c r="L50" t="s">
        <v>180</v>
      </c>
      <c r="M50" t="s">
        <v>24</v>
      </c>
      <c r="N50" t="s">
        <v>25</v>
      </c>
      <c r="Q50" s="5" t="s">
        <v>497</v>
      </c>
      <c r="R50" s="5" t="s">
        <v>206</v>
      </c>
      <c r="S50" s="5" t="s">
        <v>206</v>
      </c>
      <c r="T50" s="5">
        <v>1</v>
      </c>
      <c r="V50" s="5">
        <v>275.84249999999997</v>
      </c>
      <c r="W50" s="5">
        <v>1.0789</v>
      </c>
      <c r="X50" s="5" t="s">
        <v>498</v>
      </c>
    </row>
    <row r="51" spans="1:24">
      <c r="A51" t="s">
        <v>209</v>
      </c>
      <c r="B51" t="s">
        <v>210</v>
      </c>
      <c r="C51" t="s">
        <v>211</v>
      </c>
      <c r="D51" t="s">
        <v>19</v>
      </c>
      <c r="E51" t="s">
        <v>20</v>
      </c>
      <c r="F51" t="s">
        <v>212</v>
      </c>
      <c r="H51" t="s">
        <v>189</v>
      </c>
      <c r="J51">
        <v>9059</v>
      </c>
      <c r="L51" t="s">
        <v>180</v>
      </c>
      <c r="M51" t="s">
        <v>24</v>
      </c>
      <c r="N51" t="s">
        <v>25</v>
      </c>
      <c r="Q51" s="5" t="s">
        <v>499</v>
      </c>
      <c r="R51" s="5" t="s">
        <v>211</v>
      </c>
      <c r="S51" s="5" t="s">
        <v>500</v>
      </c>
      <c r="T51" s="5">
        <v>3</v>
      </c>
      <c r="V51" s="5">
        <v>131.72810000000001</v>
      </c>
      <c r="W51" s="5">
        <v>0.96399999999999997</v>
      </c>
      <c r="X51" s="5" t="s">
        <v>501</v>
      </c>
    </row>
    <row r="52" spans="1:24">
      <c r="A52" t="s">
        <v>213</v>
      </c>
      <c r="B52" t="s">
        <v>214</v>
      </c>
      <c r="C52" t="s">
        <v>215</v>
      </c>
      <c r="D52" t="s">
        <v>44</v>
      </c>
      <c r="E52" t="s">
        <v>20</v>
      </c>
      <c r="F52" t="s">
        <v>216</v>
      </c>
      <c r="H52" t="s">
        <v>217</v>
      </c>
      <c r="J52">
        <v>10523</v>
      </c>
      <c r="L52" t="s">
        <v>180</v>
      </c>
      <c r="M52" t="s">
        <v>24</v>
      </c>
      <c r="N52" t="s">
        <v>25</v>
      </c>
      <c r="Q52" s="5" t="s">
        <v>502</v>
      </c>
      <c r="R52" s="5" t="s">
        <v>215</v>
      </c>
      <c r="S52" s="5" t="s">
        <v>452</v>
      </c>
      <c r="T52" s="5"/>
      <c r="V52" s="5">
        <v>80.196700000000007</v>
      </c>
      <c r="W52" s="5">
        <v>0.98719999999999997</v>
      </c>
      <c r="X52" s="5" t="s">
        <v>503</v>
      </c>
    </row>
    <row r="53" spans="1:24">
      <c r="A53" t="s">
        <v>213</v>
      </c>
      <c r="B53" t="s">
        <v>214</v>
      </c>
      <c r="C53" t="s">
        <v>218</v>
      </c>
      <c r="D53" t="s">
        <v>19</v>
      </c>
      <c r="E53" t="s">
        <v>20</v>
      </c>
      <c r="F53" t="s">
        <v>216</v>
      </c>
      <c r="H53" t="s">
        <v>219</v>
      </c>
      <c r="J53">
        <v>10521</v>
      </c>
      <c r="L53" t="s">
        <v>180</v>
      </c>
      <c r="M53" t="s">
        <v>24</v>
      </c>
      <c r="N53" t="s">
        <v>25</v>
      </c>
      <c r="Q53" s="5" t="s">
        <v>504</v>
      </c>
      <c r="R53" s="5" t="s">
        <v>218</v>
      </c>
      <c r="S53" s="5" t="s">
        <v>505</v>
      </c>
      <c r="T53" s="5"/>
      <c r="V53" s="5">
        <v>60.072000000000003</v>
      </c>
      <c r="W53" s="5">
        <v>0.84260000000000002</v>
      </c>
      <c r="X53" s="5" t="s">
        <v>506</v>
      </c>
    </row>
    <row r="54" spans="1:24">
      <c r="A54" t="s">
        <v>220</v>
      </c>
      <c r="B54" t="s">
        <v>221</v>
      </c>
      <c r="C54" t="s">
        <v>222</v>
      </c>
      <c r="D54" t="s">
        <v>19</v>
      </c>
      <c r="E54" t="s">
        <v>20</v>
      </c>
      <c r="F54" t="s">
        <v>223</v>
      </c>
      <c r="H54" t="s">
        <v>22</v>
      </c>
      <c r="J54">
        <v>9770</v>
      </c>
      <c r="L54" t="s">
        <v>180</v>
      </c>
      <c r="M54" t="s">
        <v>24</v>
      </c>
      <c r="N54" t="s">
        <v>25</v>
      </c>
      <c r="Q54" s="5" t="s">
        <v>507</v>
      </c>
      <c r="R54" s="5" t="s">
        <v>222</v>
      </c>
      <c r="S54" s="5" t="s">
        <v>508</v>
      </c>
      <c r="T54" s="5"/>
      <c r="V54" s="5">
        <v>143.0909</v>
      </c>
      <c r="W54" s="5">
        <v>0.9768</v>
      </c>
      <c r="X54" s="5" t="s">
        <v>509</v>
      </c>
    </row>
    <row r="55" spans="1:24">
      <c r="A55" t="s">
        <v>224</v>
      </c>
      <c r="B55" t="s">
        <v>148</v>
      </c>
      <c r="C55" t="s">
        <v>149</v>
      </c>
      <c r="D55" t="s">
        <v>19</v>
      </c>
      <c r="E55" t="s">
        <v>20</v>
      </c>
      <c r="F55" t="s">
        <v>225</v>
      </c>
      <c r="H55" t="s">
        <v>226</v>
      </c>
      <c r="J55">
        <v>15418</v>
      </c>
      <c r="L55" t="s">
        <v>180</v>
      </c>
      <c r="M55" t="s">
        <v>24</v>
      </c>
      <c r="N55" t="s">
        <v>49</v>
      </c>
      <c r="Q55" s="5" t="s">
        <v>510</v>
      </c>
      <c r="R55" s="5" t="s">
        <v>149</v>
      </c>
      <c r="S55" s="5" t="s">
        <v>149</v>
      </c>
      <c r="T55" s="5">
        <v>1</v>
      </c>
      <c r="V55" s="5">
        <v>127.0797</v>
      </c>
      <c r="W55" s="5">
        <v>0.95840000000000003</v>
      </c>
      <c r="X55" s="5" t="s">
        <v>511</v>
      </c>
    </row>
    <row r="56" spans="1:24">
      <c r="A56" t="s">
        <v>224</v>
      </c>
      <c r="B56" t="s">
        <v>148</v>
      </c>
      <c r="C56" t="s">
        <v>149</v>
      </c>
      <c r="D56" t="s">
        <v>19</v>
      </c>
      <c r="E56" t="s">
        <v>20</v>
      </c>
      <c r="F56" t="s">
        <v>225</v>
      </c>
      <c r="H56" t="s">
        <v>226</v>
      </c>
      <c r="J56">
        <v>15418</v>
      </c>
      <c r="L56" t="s">
        <v>180</v>
      </c>
      <c r="M56" t="s">
        <v>24</v>
      </c>
      <c r="N56" t="s">
        <v>421</v>
      </c>
      <c r="Q56" s="5" t="s">
        <v>510</v>
      </c>
      <c r="R56" s="5" t="s">
        <v>149</v>
      </c>
      <c r="S56" s="5" t="s">
        <v>149</v>
      </c>
      <c r="T56" s="5">
        <v>1</v>
      </c>
      <c r="V56" s="5">
        <v>127.0797</v>
      </c>
      <c r="W56" s="5">
        <v>0.95840000000000003</v>
      </c>
      <c r="X56" s="5" t="s">
        <v>511</v>
      </c>
    </row>
    <row r="57" spans="1:24">
      <c r="A57" t="s">
        <v>227</v>
      </c>
      <c r="B57" t="s">
        <v>158</v>
      </c>
      <c r="C57" t="s">
        <v>159</v>
      </c>
      <c r="D57" t="s">
        <v>19</v>
      </c>
      <c r="E57" t="s">
        <v>20</v>
      </c>
      <c r="F57" t="s">
        <v>228</v>
      </c>
      <c r="H57" t="s">
        <v>229</v>
      </c>
      <c r="J57">
        <v>12829</v>
      </c>
      <c r="L57" t="s">
        <v>180</v>
      </c>
      <c r="M57" t="s">
        <v>24</v>
      </c>
      <c r="Q57" s="5" t="s">
        <v>512</v>
      </c>
      <c r="R57" s="5" t="s">
        <v>159</v>
      </c>
      <c r="S57" s="5" t="s">
        <v>513</v>
      </c>
      <c r="T57" s="5"/>
      <c r="V57" s="5">
        <v>145.97319999999999</v>
      </c>
      <c r="W57" s="5">
        <v>0.77990000000000004</v>
      </c>
      <c r="X57" s="5" t="s">
        <v>514</v>
      </c>
    </row>
    <row r="58" spans="1:24">
      <c r="A58" t="s">
        <v>230</v>
      </c>
      <c r="B58" t="s">
        <v>231</v>
      </c>
      <c r="C58" t="s">
        <v>232</v>
      </c>
      <c r="D58" t="s">
        <v>127</v>
      </c>
      <c r="E58" t="s">
        <v>127</v>
      </c>
      <c r="F58" t="s">
        <v>233</v>
      </c>
      <c r="H58" t="s">
        <v>234</v>
      </c>
      <c r="J58">
        <v>23253</v>
      </c>
      <c r="L58" t="s">
        <v>180</v>
      </c>
      <c r="M58" t="s">
        <v>24</v>
      </c>
      <c r="Q58" s="5" t="s">
        <v>515</v>
      </c>
      <c r="R58" s="5" t="s">
        <v>232</v>
      </c>
      <c r="S58" s="5" t="s">
        <v>516</v>
      </c>
      <c r="T58" s="5"/>
      <c r="V58" s="5">
        <v>288.4169</v>
      </c>
      <c r="W58" s="5">
        <v>1.0858000000000001</v>
      </c>
      <c r="X58" s="5" t="s">
        <v>517</v>
      </c>
    </row>
    <row r="59" spans="1:24">
      <c r="A59" t="s">
        <v>235</v>
      </c>
      <c r="B59" t="s">
        <v>236</v>
      </c>
      <c r="C59" t="s">
        <v>237</v>
      </c>
      <c r="D59" t="s">
        <v>19</v>
      </c>
      <c r="E59" t="s">
        <v>20</v>
      </c>
      <c r="F59" t="s">
        <v>238</v>
      </c>
      <c r="H59" t="s">
        <v>239</v>
      </c>
      <c r="J59">
        <v>13567</v>
      </c>
      <c r="L59" t="s">
        <v>180</v>
      </c>
      <c r="M59" t="s">
        <v>24</v>
      </c>
      <c r="N59" t="s">
        <v>49</v>
      </c>
      <c r="Q59" s="5" t="s">
        <v>518</v>
      </c>
      <c r="R59" s="5" t="s">
        <v>237</v>
      </c>
      <c r="S59" s="5" t="s">
        <v>519</v>
      </c>
      <c r="T59" s="5"/>
      <c r="V59" s="5">
        <v>46.105699999999999</v>
      </c>
      <c r="W59" s="5">
        <v>0.80210000000000004</v>
      </c>
      <c r="X59" s="5" t="s">
        <v>520</v>
      </c>
    </row>
    <row r="60" spans="1:24">
      <c r="A60" t="s">
        <v>240</v>
      </c>
      <c r="B60" t="s">
        <v>241</v>
      </c>
      <c r="C60" t="s">
        <v>242</v>
      </c>
      <c r="D60" t="s">
        <v>19</v>
      </c>
      <c r="E60" t="s">
        <v>20</v>
      </c>
      <c r="F60" t="s">
        <v>243</v>
      </c>
      <c r="H60" t="s">
        <v>244</v>
      </c>
      <c r="J60">
        <v>11807</v>
      </c>
      <c r="L60" t="s">
        <v>180</v>
      </c>
      <c r="M60" t="s">
        <v>24</v>
      </c>
      <c r="Q60" s="5" t="s">
        <v>521</v>
      </c>
      <c r="R60" s="5" t="s">
        <v>242</v>
      </c>
      <c r="S60" s="5" t="s">
        <v>242</v>
      </c>
      <c r="T60" s="5">
        <v>1</v>
      </c>
      <c r="V60" s="5">
        <v>151.96940000000001</v>
      </c>
      <c r="W60" s="5">
        <v>0.98609999999999998</v>
      </c>
      <c r="X60" s="5" t="s">
        <v>522</v>
      </c>
    </row>
    <row r="61" spans="1:24">
      <c r="A61" t="s">
        <v>245</v>
      </c>
      <c r="B61" t="s">
        <v>246</v>
      </c>
      <c r="C61" t="s">
        <v>247</v>
      </c>
      <c r="D61" t="s">
        <v>19</v>
      </c>
      <c r="E61" t="s">
        <v>20</v>
      </c>
      <c r="F61" t="s">
        <v>248</v>
      </c>
      <c r="H61" t="s">
        <v>249</v>
      </c>
      <c r="J61">
        <v>14568</v>
      </c>
      <c r="L61" t="s">
        <v>180</v>
      </c>
      <c r="M61" t="s">
        <v>24</v>
      </c>
      <c r="Q61" s="5" t="s">
        <v>523</v>
      </c>
      <c r="R61" s="5" t="s">
        <v>247</v>
      </c>
      <c r="S61" s="5" t="s">
        <v>524</v>
      </c>
      <c r="T61" s="5"/>
      <c r="V61" s="5">
        <v>287.07319999999999</v>
      </c>
      <c r="W61" s="5">
        <v>1.0851</v>
      </c>
      <c r="X61" s="5" t="s">
        <v>525</v>
      </c>
    </row>
    <row r="62" spans="1:24">
      <c r="A62" t="s">
        <v>184</v>
      </c>
      <c r="B62" t="s">
        <v>185</v>
      </c>
      <c r="C62" t="s">
        <v>186</v>
      </c>
      <c r="D62" t="s">
        <v>19</v>
      </c>
      <c r="E62" t="s">
        <v>20</v>
      </c>
      <c r="F62" t="s">
        <v>184</v>
      </c>
      <c r="H62" t="s">
        <v>250</v>
      </c>
      <c r="K62" t="s">
        <v>251</v>
      </c>
      <c r="L62" t="s">
        <v>252</v>
      </c>
      <c r="M62" t="s">
        <v>24</v>
      </c>
      <c r="N62" t="s">
        <v>49</v>
      </c>
      <c r="Q62" s="5" t="s">
        <v>526</v>
      </c>
      <c r="R62" s="5" t="s">
        <v>186</v>
      </c>
      <c r="S62" s="5" t="s">
        <v>486</v>
      </c>
      <c r="T62" s="5">
        <v>4</v>
      </c>
      <c r="V62" s="5">
        <v>125.9674</v>
      </c>
      <c r="W62" s="5">
        <v>0.95699999999999996</v>
      </c>
      <c r="X62" s="5" t="s">
        <v>527</v>
      </c>
    </row>
    <row r="63" spans="1:24">
      <c r="A63" t="s">
        <v>184</v>
      </c>
      <c r="B63" t="s">
        <v>185</v>
      </c>
      <c r="C63" t="s">
        <v>186</v>
      </c>
      <c r="D63" t="s">
        <v>19</v>
      </c>
      <c r="E63" t="s">
        <v>20</v>
      </c>
      <c r="F63" t="s">
        <v>184</v>
      </c>
      <c r="H63" t="s">
        <v>250</v>
      </c>
      <c r="K63" t="s">
        <v>251</v>
      </c>
      <c r="L63" t="s">
        <v>252</v>
      </c>
      <c r="M63" t="s">
        <v>24</v>
      </c>
      <c r="N63" t="s">
        <v>421</v>
      </c>
      <c r="Q63" s="5" t="s">
        <v>526</v>
      </c>
      <c r="R63" s="5" t="s">
        <v>186</v>
      </c>
      <c r="S63" s="5" t="s">
        <v>486</v>
      </c>
      <c r="T63" s="5">
        <v>4</v>
      </c>
      <c r="V63" s="5">
        <v>125.9674</v>
      </c>
      <c r="W63" s="5">
        <v>0.95699999999999996</v>
      </c>
      <c r="X63" s="5" t="s">
        <v>527</v>
      </c>
    </row>
    <row r="64" spans="1:24">
      <c r="A64" t="s">
        <v>253</v>
      </c>
      <c r="B64" t="s">
        <v>214</v>
      </c>
      <c r="C64" t="s">
        <v>254</v>
      </c>
      <c r="D64" t="s">
        <v>127</v>
      </c>
      <c r="E64" t="s">
        <v>127</v>
      </c>
      <c r="F64" t="s">
        <v>253</v>
      </c>
      <c r="H64" t="s">
        <v>127</v>
      </c>
      <c r="K64">
        <v>1680</v>
      </c>
      <c r="L64" t="s">
        <v>252</v>
      </c>
      <c r="M64" t="s">
        <v>24</v>
      </c>
      <c r="Q64" s="5" t="s">
        <v>528</v>
      </c>
      <c r="R64" s="5" t="s">
        <v>254</v>
      </c>
      <c r="S64" s="5" t="s">
        <v>254</v>
      </c>
      <c r="T64" s="5">
        <v>1</v>
      </c>
      <c r="V64" s="5">
        <v>449.20499999999998</v>
      </c>
      <c r="W64" s="5">
        <v>1.1549</v>
      </c>
      <c r="X64" s="5" t="s">
        <v>529</v>
      </c>
    </row>
    <row r="65" spans="1:24">
      <c r="A65" t="s">
        <v>255</v>
      </c>
      <c r="B65" t="s">
        <v>256</v>
      </c>
      <c r="C65" t="s">
        <v>257</v>
      </c>
      <c r="D65" t="s">
        <v>79</v>
      </c>
      <c r="E65" t="s">
        <v>20</v>
      </c>
      <c r="F65" t="s">
        <v>258</v>
      </c>
      <c r="H65" t="s">
        <v>259</v>
      </c>
      <c r="K65" t="s">
        <v>260</v>
      </c>
      <c r="L65" t="s">
        <v>252</v>
      </c>
      <c r="M65" t="s">
        <v>24</v>
      </c>
      <c r="Q65" s="5" t="s">
        <v>530</v>
      </c>
      <c r="R65" s="5" t="s">
        <v>257</v>
      </c>
      <c r="S65" s="5" t="s">
        <v>257</v>
      </c>
      <c r="T65" s="5">
        <v>1</v>
      </c>
      <c r="V65" s="5">
        <v>211.99709999999999</v>
      </c>
      <c r="W65" s="5">
        <v>1.0379</v>
      </c>
      <c r="X65" s="5" t="s">
        <v>531</v>
      </c>
    </row>
    <row r="66" spans="1:24">
      <c r="A66" t="s">
        <v>261</v>
      </c>
      <c r="B66" t="s">
        <v>262</v>
      </c>
      <c r="C66" t="s">
        <v>263</v>
      </c>
      <c r="D66" t="s">
        <v>19</v>
      </c>
      <c r="E66" t="s">
        <v>20</v>
      </c>
      <c r="F66" t="s">
        <v>261</v>
      </c>
      <c r="H66" t="s">
        <v>189</v>
      </c>
      <c r="K66" t="s">
        <v>264</v>
      </c>
      <c r="L66" t="s">
        <v>252</v>
      </c>
      <c r="M66" t="s">
        <v>24</v>
      </c>
      <c r="Q66" s="5" t="s">
        <v>532</v>
      </c>
      <c r="R66" s="5" t="s">
        <v>263</v>
      </c>
      <c r="S66" s="5" t="s">
        <v>263</v>
      </c>
      <c r="T66" s="5">
        <v>1</v>
      </c>
      <c r="V66" s="5">
        <v>339.65589999999997</v>
      </c>
      <c r="W66" s="5">
        <v>1.1113</v>
      </c>
      <c r="X66" s="5" t="s">
        <v>533</v>
      </c>
    </row>
    <row r="67" spans="1:24">
      <c r="A67" t="s">
        <v>265</v>
      </c>
      <c r="B67" t="s">
        <v>266</v>
      </c>
      <c r="C67" t="s">
        <v>267</v>
      </c>
      <c r="D67" t="s">
        <v>19</v>
      </c>
      <c r="E67" t="s">
        <v>20</v>
      </c>
      <c r="F67" t="s">
        <v>268</v>
      </c>
      <c r="H67" t="s">
        <v>269</v>
      </c>
      <c r="K67">
        <v>2207</v>
      </c>
      <c r="L67" t="s">
        <v>252</v>
      </c>
      <c r="M67" t="s">
        <v>24</v>
      </c>
      <c r="N67" t="s">
        <v>49</v>
      </c>
      <c r="Q67" s="5" t="s">
        <v>534</v>
      </c>
      <c r="R67" s="5" t="s">
        <v>267</v>
      </c>
      <c r="S67" s="5" t="s">
        <v>267</v>
      </c>
      <c r="T67" s="5">
        <v>1</v>
      </c>
      <c r="V67" s="5">
        <v>60.283700000000003</v>
      </c>
      <c r="W67" s="5">
        <v>0.84319999999999995</v>
      </c>
      <c r="X67" s="5" t="s">
        <v>535</v>
      </c>
    </row>
    <row r="68" spans="1:24">
      <c r="A68" t="s">
        <v>270</v>
      </c>
      <c r="B68" t="s">
        <v>271</v>
      </c>
      <c r="C68" s="3" t="s">
        <v>272</v>
      </c>
      <c r="D68" t="s">
        <v>79</v>
      </c>
      <c r="E68" t="s">
        <v>20</v>
      </c>
      <c r="F68" t="s">
        <v>273</v>
      </c>
      <c r="H68" t="s">
        <v>259</v>
      </c>
      <c r="K68">
        <v>1915</v>
      </c>
      <c r="L68" t="s">
        <v>252</v>
      </c>
      <c r="M68" t="s">
        <v>24</v>
      </c>
      <c r="N68" t="s">
        <v>25</v>
      </c>
      <c r="Q68" s="5" t="s">
        <v>536</v>
      </c>
      <c r="R68" s="5" t="s">
        <v>272</v>
      </c>
      <c r="S68" s="5" t="s">
        <v>272</v>
      </c>
      <c r="T68" s="5">
        <v>1</v>
      </c>
      <c r="V68" s="5">
        <v>169.6798</v>
      </c>
      <c r="W68" s="5">
        <v>1.0033000000000001</v>
      </c>
      <c r="X68" s="5" t="s">
        <v>537</v>
      </c>
    </row>
    <row r="69" spans="1:24">
      <c r="A69" t="s">
        <v>274</v>
      </c>
      <c r="B69" t="s">
        <v>275</v>
      </c>
      <c r="C69" t="s">
        <v>276</v>
      </c>
      <c r="D69" t="s">
        <v>44</v>
      </c>
      <c r="E69" t="s">
        <v>20</v>
      </c>
      <c r="F69" t="s">
        <v>277</v>
      </c>
      <c r="H69" t="s">
        <v>278</v>
      </c>
      <c r="K69">
        <v>1926</v>
      </c>
      <c r="L69" t="s">
        <v>252</v>
      </c>
      <c r="M69" t="s">
        <v>24</v>
      </c>
      <c r="N69" t="s">
        <v>25</v>
      </c>
      <c r="Q69" s="5" t="s">
        <v>538</v>
      </c>
      <c r="R69" s="5" t="s">
        <v>276</v>
      </c>
      <c r="S69" s="5" t="s">
        <v>276</v>
      </c>
      <c r="T69" s="5">
        <v>1</v>
      </c>
      <c r="V69" s="5">
        <v>194.5386</v>
      </c>
      <c r="W69" s="5">
        <v>1.1245000000000001</v>
      </c>
      <c r="X69" s="5" t="s">
        <v>539</v>
      </c>
    </row>
    <row r="70" spans="1:24">
      <c r="A70" t="s">
        <v>279</v>
      </c>
      <c r="B70" t="s">
        <v>280</v>
      </c>
      <c r="C70" t="s">
        <v>281</v>
      </c>
      <c r="D70" t="s">
        <v>79</v>
      </c>
      <c r="E70" t="s">
        <v>20</v>
      </c>
      <c r="F70" t="s">
        <v>282</v>
      </c>
      <c r="H70" t="s">
        <v>82</v>
      </c>
      <c r="K70" t="s">
        <v>283</v>
      </c>
      <c r="L70" t="s">
        <v>252</v>
      </c>
      <c r="M70" t="s">
        <v>24</v>
      </c>
      <c r="N70" t="s">
        <v>25</v>
      </c>
      <c r="Q70" s="5" t="s">
        <v>540</v>
      </c>
      <c r="R70" s="5" t="s">
        <v>281</v>
      </c>
      <c r="S70" s="5" t="s">
        <v>541</v>
      </c>
      <c r="T70" s="5">
        <v>2</v>
      </c>
      <c r="V70" s="5">
        <v>121.05070000000001</v>
      </c>
      <c r="W70" s="5">
        <v>0.75090000000000001</v>
      </c>
      <c r="X70" s="5" t="s">
        <v>542</v>
      </c>
    </row>
    <row r="71" spans="1:24">
      <c r="A71" t="s">
        <v>284</v>
      </c>
      <c r="B71" t="s">
        <v>285</v>
      </c>
      <c r="C71" t="s">
        <v>286</v>
      </c>
      <c r="D71" t="s">
        <v>127</v>
      </c>
      <c r="E71" t="s">
        <v>127</v>
      </c>
      <c r="F71" t="s">
        <v>284</v>
      </c>
      <c r="H71" t="s">
        <v>127</v>
      </c>
      <c r="K71">
        <v>1766</v>
      </c>
      <c r="L71" t="s">
        <v>252</v>
      </c>
      <c r="M71" t="s">
        <v>24</v>
      </c>
      <c r="N71" t="s">
        <v>25</v>
      </c>
      <c r="Q71" s="5" t="s">
        <v>543</v>
      </c>
      <c r="R71" s="5" t="s">
        <v>286</v>
      </c>
      <c r="S71" s="5" t="s">
        <v>286</v>
      </c>
      <c r="T71" s="5">
        <v>1</v>
      </c>
      <c r="V71" s="5">
        <v>153.30369999999999</v>
      </c>
      <c r="W71" s="5">
        <v>0.98750000000000004</v>
      </c>
      <c r="X71" s="5" t="s">
        <v>544</v>
      </c>
    </row>
    <row r="72" spans="1:24">
      <c r="A72" t="s">
        <v>287</v>
      </c>
      <c r="B72" t="s">
        <v>288</v>
      </c>
      <c r="C72" t="s">
        <v>289</v>
      </c>
      <c r="D72" t="s">
        <v>127</v>
      </c>
      <c r="E72" t="s">
        <v>127</v>
      </c>
      <c r="F72" t="s">
        <v>290</v>
      </c>
      <c r="H72" t="s">
        <v>127</v>
      </c>
      <c r="K72">
        <v>1687</v>
      </c>
      <c r="L72" t="s">
        <v>252</v>
      </c>
      <c r="M72" t="s">
        <v>24</v>
      </c>
      <c r="N72" t="s">
        <v>25</v>
      </c>
      <c r="Q72" s="5" t="s">
        <v>545</v>
      </c>
      <c r="R72" s="5" t="s">
        <v>289</v>
      </c>
      <c r="S72" s="5" t="s">
        <v>546</v>
      </c>
      <c r="T72" s="5">
        <v>3</v>
      </c>
      <c r="V72" s="5">
        <v>75.490799999999993</v>
      </c>
      <c r="W72" s="5">
        <v>0.87780000000000002</v>
      </c>
      <c r="X72" s="5" t="s">
        <v>547</v>
      </c>
    </row>
    <row r="73" spans="1:24">
      <c r="A73" t="s">
        <v>291</v>
      </c>
      <c r="B73" t="s">
        <v>292</v>
      </c>
      <c r="C73" t="s">
        <v>293</v>
      </c>
      <c r="D73" t="s">
        <v>19</v>
      </c>
      <c r="E73" t="s">
        <v>20</v>
      </c>
      <c r="F73" t="s">
        <v>291</v>
      </c>
      <c r="H73" t="s">
        <v>294</v>
      </c>
      <c r="K73" t="s">
        <v>295</v>
      </c>
      <c r="L73" t="s">
        <v>252</v>
      </c>
      <c r="M73" t="s">
        <v>24</v>
      </c>
      <c r="N73" t="s">
        <v>25</v>
      </c>
      <c r="Q73" s="5" t="s">
        <v>548</v>
      </c>
      <c r="R73" s="5" t="s">
        <v>293</v>
      </c>
      <c r="S73" s="5" t="s">
        <v>549</v>
      </c>
      <c r="T73" s="5">
        <v>4</v>
      </c>
      <c r="V73" s="5">
        <v>68.566199999999995</v>
      </c>
      <c r="W73" s="5">
        <v>0.86299999999999999</v>
      </c>
      <c r="X73" s="5" t="s">
        <v>550</v>
      </c>
    </row>
    <row r="74" spans="1:24">
      <c r="A74" t="s">
        <v>296</v>
      </c>
      <c r="B74" t="s">
        <v>297</v>
      </c>
      <c r="C74" t="s">
        <v>298</v>
      </c>
      <c r="D74" t="s">
        <v>19</v>
      </c>
      <c r="E74" t="s">
        <v>20</v>
      </c>
      <c r="F74" t="s">
        <v>299</v>
      </c>
      <c r="H74" t="s">
        <v>300</v>
      </c>
      <c r="K74" t="s">
        <v>301</v>
      </c>
      <c r="L74" t="s">
        <v>252</v>
      </c>
      <c r="M74" t="s">
        <v>24</v>
      </c>
      <c r="N74" t="s">
        <v>25</v>
      </c>
      <c r="Q74" s="5" t="s">
        <v>551</v>
      </c>
      <c r="R74" s="5" t="s">
        <v>298</v>
      </c>
      <c r="S74" s="5" t="s">
        <v>298</v>
      </c>
      <c r="T74" s="5">
        <v>1</v>
      </c>
      <c r="V74" s="5">
        <v>157.6876</v>
      </c>
      <c r="W74" s="5">
        <v>0.9919</v>
      </c>
      <c r="X74" s="5" t="s">
        <v>552</v>
      </c>
    </row>
    <row r="75" spans="1:24">
      <c r="A75" t="s">
        <v>302</v>
      </c>
      <c r="B75" t="s">
        <v>100</v>
      </c>
      <c r="C75" t="s">
        <v>303</v>
      </c>
      <c r="D75" t="s">
        <v>79</v>
      </c>
      <c r="E75" t="s">
        <v>79</v>
      </c>
      <c r="F75" t="s">
        <v>304</v>
      </c>
      <c r="H75" t="s">
        <v>82</v>
      </c>
      <c r="K75" t="s">
        <v>305</v>
      </c>
      <c r="L75" t="s">
        <v>252</v>
      </c>
      <c r="M75" t="s">
        <v>24</v>
      </c>
      <c r="N75" t="s">
        <v>25</v>
      </c>
      <c r="Q75" s="5" t="s">
        <v>553</v>
      </c>
      <c r="R75" s="5" t="s">
        <v>303</v>
      </c>
      <c r="S75" s="5" t="s">
        <v>554</v>
      </c>
      <c r="T75" s="5">
        <v>3</v>
      </c>
      <c r="V75" s="5">
        <v>249.63560000000001</v>
      </c>
      <c r="W75" s="5">
        <v>0.86329999999999996</v>
      </c>
      <c r="X75" s="5" t="s">
        <v>555</v>
      </c>
    </row>
    <row r="76" spans="1:24">
      <c r="A76" t="s">
        <v>306</v>
      </c>
      <c r="B76" t="s">
        <v>307</v>
      </c>
      <c r="C76" t="s">
        <v>308</v>
      </c>
      <c r="D76" t="s">
        <v>19</v>
      </c>
      <c r="E76" t="s">
        <v>20</v>
      </c>
      <c r="F76" t="s">
        <v>309</v>
      </c>
      <c r="H76" t="s">
        <v>310</v>
      </c>
      <c r="K76" t="s">
        <v>311</v>
      </c>
      <c r="L76" t="s">
        <v>252</v>
      </c>
      <c r="M76" t="s">
        <v>24</v>
      </c>
      <c r="N76" t="s">
        <v>25</v>
      </c>
      <c r="Q76" s="5" t="s">
        <v>556</v>
      </c>
      <c r="R76" s="5" t="s">
        <v>308</v>
      </c>
      <c r="S76" s="5" t="s">
        <v>308</v>
      </c>
      <c r="T76" s="5">
        <v>1</v>
      </c>
      <c r="V76" s="5">
        <v>129.47999999999999</v>
      </c>
      <c r="W76" s="5">
        <v>0.96130000000000004</v>
      </c>
      <c r="X76" s="5" t="s">
        <v>557</v>
      </c>
    </row>
    <row r="77" spans="1:24">
      <c r="A77" t="s">
        <v>184</v>
      </c>
      <c r="B77" t="s">
        <v>185</v>
      </c>
      <c r="C77" t="s">
        <v>186</v>
      </c>
      <c r="D77" t="s">
        <v>19</v>
      </c>
      <c r="E77" t="s">
        <v>20</v>
      </c>
      <c r="F77" t="s">
        <v>185</v>
      </c>
      <c r="L77" t="s">
        <v>312</v>
      </c>
      <c r="M77" t="s">
        <v>24</v>
      </c>
      <c r="N77" t="s">
        <v>25</v>
      </c>
      <c r="Q77" s="5" t="s">
        <v>185</v>
      </c>
      <c r="R77" s="5" t="s">
        <v>186</v>
      </c>
      <c r="S77" s="5" t="s">
        <v>558</v>
      </c>
      <c r="T77" s="5">
        <v>2</v>
      </c>
      <c r="V77" s="5">
        <v>501.52589999999998</v>
      </c>
      <c r="W77" s="5">
        <v>0.97199999999999998</v>
      </c>
      <c r="X77" s="5" t="s">
        <v>559</v>
      </c>
    </row>
    <row r="78" spans="1:24">
      <c r="A78" t="s">
        <v>313</v>
      </c>
      <c r="B78" t="s">
        <v>221</v>
      </c>
      <c r="C78" t="s">
        <v>314</v>
      </c>
      <c r="D78" t="s">
        <v>127</v>
      </c>
      <c r="E78" t="s">
        <v>127</v>
      </c>
      <c r="F78" t="s">
        <v>221</v>
      </c>
      <c r="L78" t="s">
        <v>312</v>
      </c>
      <c r="M78" t="s">
        <v>24</v>
      </c>
      <c r="Q78" s="5" t="s">
        <v>221</v>
      </c>
      <c r="R78" s="5" t="s">
        <v>314</v>
      </c>
      <c r="S78" s="5" t="s">
        <v>560</v>
      </c>
      <c r="T78" s="5">
        <v>3</v>
      </c>
      <c r="V78" s="5">
        <v>610.61699999999996</v>
      </c>
      <c r="W78" s="5">
        <v>1</v>
      </c>
      <c r="X78" s="5" t="s">
        <v>561</v>
      </c>
    </row>
    <row r="79" spans="1:24">
      <c r="A79" t="s">
        <v>315</v>
      </c>
      <c r="B79" t="s">
        <v>316</v>
      </c>
      <c r="C79" t="s">
        <v>317</v>
      </c>
      <c r="D79" t="s">
        <v>44</v>
      </c>
      <c r="E79" t="s">
        <v>20</v>
      </c>
      <c r="F79" t="s">
        <v>316</v>
      </c>
      <c r="L79" t="s">
        <v>312</v>
      </c>
      <c r="M79" t="s">
        <v>24</v>
      </c>
      <c r="Q79" s="5" t="s">
        <v>316</v>
      </c>
      <c r="R79" s="5" t="s">
        <v>317</v>
      </c>
      <c r="S79" s="5" t="s">
        <v>562</v>
      </c>
      <c r="T79" s="5">
        <v>5</v>
      </c>
      <c r="V79" s="5">
        <v>793.46770000000004</v>
      </c>
      <c r="W79" s="5">
        <v>1</v>
      </c>
      <c r="X79" s="5" t="s">
        <v>563</v>
      </c>
    </row>
    <row r="80" spans="1:24">
      <c r="A80" t="s">
        <v>318</v>
      </c>
      <c r="B80" t="s">
        <v>316</v>
      </c>
      <c r="C80" t="s">
        <v>319</v>
      </c>
      <c r="D80" t="s">
        <v>127</v>
      </c>
      <c r="E80" t="s">
        <v>127</v>
      </c>
      <c r="F80" t="s">
        <v>316</v>
      </c>
      <c r="L80" t="s">
        <v>312</v>
      </c>
      <c r="M80" t="s">
        <v>24</v>
      </c>
      <c r="Q80" s="5" t="s">
        <v>316</v>
      </c>
      <c r="R80" s="5" t="s">
        <v>319</v>
      </c>
      <c r="S80" s="5" t="s">
        <v>562</v>
      </c>
      <c r="T80" s="5">
        <v>4</v>
      </c>
      <c r="V80" s="5">
        <v>793.46770000000004</v>
      </c>
      <c r="W80" s="5">
        <v>1</v>
      </c>
      <c r="X80" s="5" t="s">
        <v>563</v>
      </c>
    </row>
    <row r="81" spans="1:24">
      <c r="A81" t="s">
        <v>320</v>
      </c>
      <c r="B81" t="s">
        <v>321</v>
      </c>
      <c r="C81" t="s">
        <v>322</v>
      </c>
      <c r="D81" t="s">
        <v>127</v>
      </c>
      <c r="E81" t="s">
        <v>127</v>
      </c>
      <c r="F81" t="s">
        <v>321</v>
      </c>
      <c r="L81" t="s">
        <v>312</v>
      </c>
      <c r="M81" t="s">
        <v>24</v>
      </c>
      <c r="Q81" s="5" t="s">
        <v>321</v>
      </c>
      <c r="R81" s="5" t="s">
        <v>322</v>
      </c>
      <c r="S81" s="5" t="s">
        <v>322</v>
      </c>
      <c r="T81" s="5">
        <v>1</v>
      </c>
      <c r="V81" s="5">
        <v>620.44169999999997</v>
      </c>
      <c r="W81" s="5">
        <v>1</v>
      </c>
      <c r="X81" s="5" t="s">
        <v>564</v>
      </c>
    </row>
    <row r="82" spans="1:24">
      <c r="A82" t="s">
        <v>324</v>
      </c>
      <c r="B82" t="s">
        <v>148</v>
      </c>
      <c r="C82" t="s">
        <v>325</v>
      </c>
      <c r="D82" t="s">
        <v>79</v>
      </c>
      <c r="E82" t="s">
        <v>20</v>
      </c>
      <c r="F82" t="s">
        <v>148</v>
      </c>
      <c r="L82" t="s">
        <v>312</v>
      </c>
      <c r="M82" t="s">
        <v>24</v>
      </c>
      <c r="Q82" s="5" t="s">
        <v>148</v>
      </c>
      <c r="R82" s="5" t="s">
        <v>325</v>
      </c>
      <c r="S82" s="5" t="s">
        <v>325</v>
      </c>
      <c r="T82" s="5">
        <v>1</v>
      </c>
      <c r="V82" s="5">
        <v>304.70159999999998</v>
      </c>
      <c r="W82" s="5">
        <v>0.89439999999999997</v>
      </c>
      <c r="X82" s="5" t="s">
        <v>565</v>
      </c>
    </row>
    <row r="83" spans="1:24">
      <c r="A83" t="s">
        <v>326</v>
      </c>
      <c r="B83" t="s">
        <v>100</v>
      </c>
      <c r="C83" t="s">
        <v>101</v>
      </c>
      <c r="D83" t="s">
        <v>44</v>
      </c>
      <c r="E83" t="s">
        <v>20</v>
      </c>
      <c r="F83" t="s">
        <v>100</v>
      </c>
      <c r="L83" t="s">
        <v>312</v>
      </c>
      <c r="M83" t="s">
        <v>24</v>
      </c>
      <c r="Q83" s="5" t="s">
        <v>100</v>
      </c>
      <c r="R83" s="5" t="s">
        <v>101</v>
      </c>
      <c r="S83" s="5" t="s">
        <v>303</v>
      </c>
      <c r="T83" s="5">
        <v>4</v>
      </c>
      <c r="V83" s="5">
        <v>753.01900000000001</v>
      </c>
      <c r="W83" s="5">
        <v>1</v>
      </c>
      <c r="X83" s="5" t="s">
        <v>566</v>
      </c>
    </row>
    <row r="84" spans="1:24">
      <c r="A84" t="s">
        <v>199</v>
      </c>
      <c r="B84" t="s">
        <v>200</v>
      </c>
      <c r="C84" t="s">
        <v>201</v>
      </c>
      <c r="D84" t="s">
        <v>19</v>
      </c>
      <c r="E84" t="s">
        <v>20</v>
      </c>
      <c r="F84" t="s">
        <v>200</v>
      </c>
      <c r="L84" t="s">
        <v>312</v>
      </c>
      <c r="M84" t="s">
        <v>24</v>
      </c>
      <c r="Q84" s="5" t="s">
        <v>200</v>
      </c>
      <c r="R84" s="5" t="s">
        <v>201</v>
      </c>
      <c r="S84" s="5" t="s">
        <v>567</v>
      </c>
      <c r="T84" s="5">
        <v>3</v>
      </c>
      <c r="V84" s="5">
        <v>411.87729999999999</v>
      </c>
      <c r="W84" s="5">
        <v>0.94130000000000003</v>
      </c>
      <c r="X84" s="5" t="s">
        <v>568</v>
      </c>
    </row>
    <row r="85" spans="1:24">
      <c r="A85" t="s">
        <v>327</v>
      </c>
      <c r="B85" t="s">
        <v>328</v>
      </c>
      <c r="C85" t="s">
        <v>329</v>
      </c>
      <c r="D85" t="s">
        <v>127</v>
      </c>
      <c r="E85" t="s">
        <v>127</v>
      </c>
      <c r="F85" t="s">
        <v>328</v>
      </c>
      <c r="L85" t="s">
        <v>312</v>
      </c>
      <c r="M85" t="s">
        <v>24</v>
      </c>
      <c r="Q85" s="5" t="s">
        <v>328</v>
      </c>
      <c r="R85" s="5" t="s">
        <v>329</v>
      </c>
      <c r="S85" s="5" t="s">
        <v>569</v>
      </c>
      <c r="T85" s="5">
        <v>3</v>
      </c>
      <c r="V85" s="5">
        <v>516.41189999999995</v>
      </c>
      <c r="W85" s="5">
        <v>0.97660000000000002</v>
      </c>
      <c r="X85" s="5" t="s">
        <v>570</v>
      </c>
    </row>
    <row r="86" spans="1:24">
      <c r="A86" t="s">
        <v>330</v>
      </c>
      <c r="B86" t="s">
        <v>331</v>
      </c>
      <c r="C86" t="s">
        <v>332</v>
      </c>
      <c r="D86" t="s">
        <v>79</v>
      </c>
      <c r="E86" t="s">
        <v>20</v>
      </c>
      <c r="G86" t="s">
        <v>330</v>
      </c>
      <c r="L86" t="s">
        <v>334</v>
      </c>
      <c r="M86" t="s">
        <v>24</v>
      </c>
      <c r="Q86" s="5" t="s">
        <v>330</v>
      </c>
      <c r="R86" s="5" t="s">
        <v>332</v>
      </c>
      <c r="S86" s="5" t="s">
        <v>332</v>
      </c>
      <c r="T86" s="5">
        <v>1</v>
      </c>
      <c r="V86" s="5">
        <v>208.8176</v>
      </c>
      <c r="W86" s="5">
        <v>1.0355000000000001</v>
      </c>
      <c r="X86" s="5" t="s">
        <v>571</v>
      </c>
    </row>
    <row r="87" spans="1:24">
      <c r="A87" t="s">
        <v>335</v>
      </c>
      <c r="B87" t="s">
        <v>335</v>
      </c>
      <c r="C87" t="s">
        <v>336</v>
      </c>
      <c r="D87" t="s">
        <v>79</v>
      </c>
      <c r="E87" t="s">
        <v>20</v>
      </c>
      <c r="G87" t="s">
        <v>338</v>
      </c>
      <c r="L87" t="s">
        <v>334</v>
      </c>
      <c r="M87" t="s">
        <v>24</v>
      </c>
      <c r="Q87" s="5" t="s">
        <v>338</v>
      </c>
      <c r="R87" s="5" t="s">
        <v>336</v>
      </c>
      <c r="S87" s="5" t="s">
        <v>336</v>
      </c>
      <c r="T87" s="5">
        <v>1</v>
      </c>
      <c r="V87" s="5">
        <v>245.98310000000001</v>
      </c>
      <c r="W87" s="5">
        <v>1.0609999999999999</v>
      </c>
      <c r="X87" s="5" t="s">
        <v>572</v>
      </c>
    </row>
    <row r="88" spans="1:24">
      <c r="A88" t="s">
        <v>339</v>
      </c>
      <c r="B88" t="s">
        <v>340</v>
      </c>
      <c r="C88" t="s">
        <v>341</v>
      </c>
      <c r="D88" t="s">
        <v>127</v>
      </c>
      <c r="E88" t="s">
        <v>127</v>
      </c>
      <c r="G88" t="s">
        <v>342</v>
      </c>
      <c r="L88" t="s">
        <v>334</v>
      </c>
      <c r="M88" t="s">
        <v>24</v>
      </c>
      <c r="Q88" s="5" t="s">
        <v>342</v>
      </c>
      <c r="R88" s="5" t="s">
        <v>341</v>
      </c>
      <c r="S88" s="5" t="s">
        <v>341</v>
      </c>
      <c r="T88" s="5">
        <v>1</v>
      </c>
      <c r="V88" s="5">
        <v>390.46280000000002</v>
      </c>
      <c r="W88" s="5">
        <v>1.133</v>
      </c>
      <c r="X88" s="5" t="s">
        <v>573</v>
      </c>
    </row>
    <row r="89" spans="1:24">
      <c r="A89" t="s">
        <v>343</v>
      </c>
      <c r="B89" t="s">
        <v>344</v>
      </c>
      <c r="C89" t="s">
        <v>345</v>
      </c>
      <c r="D89" t="s">
        <v>19</v>
      </c>
      <c r="E89" t="s">
        <v>20</v>
      </c>
      <c r="G89" t="s">
        <v>347</v>
      </c>
      <c r="L89" t="s">
        <v>334</v>
      </c>
      <c r="M89" t="s">
        <v>24</v>
      </c>
      <c r="Q89" s="5" t="s">
        <v>347</v>
      </c>
      <c r="R89" s="5" t="s">
        <v>345</v>
      </c>
      <c r="S89" s="5" t="s">
        <v>574</v>
      </c>
      <c r="T89" s="5">
        <v>2</v>
      </c>
      <c r="V89" s="5">
        <v>139.12029999999999</v>
      </c>
      <c r="W89" s="5">
        <v>0.97240000000000004</v>
      </c>
      <c r="X89" s="5" t="s">
        <v>575</v>
      </c>
    </row>
    <row r="90" spans="1:24">
      <c r="A90" t="s">
        <v>348</v>
      </c>
      <c r="B90" t="s">
        <v>349</v>
      </c>
      <c r="C90" t="s">
        <v>350</v>
      </c>
      <c r="D90" t="s">
        <v>127</v>
      </c>
      <c r="E90" t="s">
        <v>127</v>
      </c>
      <c r="G90" t="s">
        <v>352</v>
      </c>
      <c r="L90" t="s">
        <v>334</v>
      </c>
      <c r="M90" t="s">
        <v>24</v>
      </c>
      <c r="Q90" s="5" t="s">
        <v>352</v>
      </c>
      <c r="R90" s="5" t="s">
        <v>350</v>
      </c>
      <c r="S90" s="5" t="s">
        <v>350</v>
      </c>
      <c r="T90" s="5">
        <v>1</v>
      </c>
      <c r="V90" s="5">
        <v>160.38130000000001</v>
      </c>
      <c r="W90" s="5">
        <v>0.99450000000000005</v>
      </c>
      <c r="X90" s="5" t="s">
        <v>576</v>
      </c>
    </row>
    <row r="91" spans="1:24">
      <c r="A91" t="s">
        <v>353</v>
      </c>
      <c r="B91" t="s">
        <v>241</v>
      </c>
      <c r="C91" t="s">
        <v>242</v>
      </c>
      <c r="D91" t="s">
        <v>19</v>
      </c>
      <c r="E91" t="s">
        <v>20</v>
      </c>
      <c r="G91" t="s">
        <v>355</v>
      </c>
      <c r="L91" t="s">
        <v>334</v>
      </c>
      <c r="M91" t="s">
        <v>24</v>
      </c>
      <c r="Q91" s="5" t="s">
        <v>355</v>
      </c>
      <c r="R91" s="5" t="s">
        <v>242</v>
      </c>
      <c r="S91" s="5" t="s">
        <v>242</v>
      </c>
      <c r="T91" s="5">
        <v>1</v>
      </c>
      <c r="V91" s="5">
        <v>151.96940000000001</v>
      </c>
      <c r="W91" s="5">
        <v>0.98609999999999998</v>
      </c>
      <c r="X91" s="5" t="s">
        <v>577</v>
      </c>
    </row>
    <row r="92" spans="1:24" s="2" customFormat="1">
      <c r="A92" s="2" t="s">
        <v>356</v>
      </c>
      <c r="B92" s="2" t="s">
        <v>266</v>
      </c>
      <c r="C92" s="2" t="s">
        <v>357</v>
      </c>
      <c r="D92" s="2" t="s">
        <v>79</v>
      </c>
      <c r="E92" s="2" t="s">
        <v>20</v>
      </c>
      <c r="G92" s="2" t="s">
        <v>358</v>
      </c>
      <c r="L92" s="2" t="s">
        <v>334</v>
      </c>
      <c r="M92" s="2" t="s">
        <v>24</v>
      </c>
      <c r="Q92" s="6" t="s">
        <v>358</v>
      </c>
      <c r="R92" s="5" t="s">
        <v>357</v>
      </c>
      <c r="S92" s="5" t="s">
        <v>578</v>
      </c>
      <c r="T92" s="5"/>
      <c r="V92" s="5">
        <v>35.183500000000002</v>
      </c>
      <c r="W92" s="5">
        <v>0.76080000000000003</v>
      </c>
      <c r="X92" s="6" t="s">
        <v>579</v>
      </c>
    </row>
    <row r="93" spans="1:24">
      <c r="A93" t="s">
        <v>359</v>
      </c>
      <c r="B93" t="s">
        <v>360</v>
      </c>
      <c r="C93" t="s">
        <v>361</v>
      </c>
      <c r="D93" t="s">
        <v>127</v>
      </c>
      <c r="E93" t="s">
        <v>127</v>
      </c>
      <c r="G93" t="s">
        <v>363</v>
      </c>
      <c r="L93" t="s">
        <v>334</v>
      </c>
      <c r="M93" t="s">
        <v>24</v>
      </c>
      <c r="Q93" s="5" t="s">
        <v>363</v>
      </c>
      <c r="R93" s="5" t="s">
        <v>361</v>
      </c>
      <c r="S93" s="5" t="s">
        <v>361</v>
      </c>
      <c r="T93" s="5">
        <v>1</v>
      </c>
      <c r="V93" s="5">
        <v>144.6908</v>
      </c>
      <c r="W93" s="5">
        <v>0.97850000000000004</v>
      </c>
      <c r="X93" s="5" t="s">
        <v>580</v>
      </c>
    </row>
    <row r="94" spans="1:24">
      <c r="A94" t="s">
        <v>364</v>
      </c>
      <c r="B94" t="s">
        <v>365</v>
      </c>
      <c r="C94" t="s">
        <v>366</v>
      </c>
      <c r="D94" t="s">
        <v>19</v>
      </c>
      <c r="E94" t="s">
        <v>20</v>
      </c>
      <c r="G94" t="s">
        <v>368</v>
      </c>
      <c r="L94" t="s">
        <v>334</v>
      </c>
      <c r="M94" t="s">
        <v>24</v>
      </c>
      <c r="Q94" s="5" t="s">
        <v>368</v>
      </c>
      <c r="R94" s="5" t="s">
        <v>366</v>
      </c>
      <c r="S94" s="5" t="s">
        <v>581</v>
      </c>
      <c r="T94" s="5">
        <v>4</v>
      </c>
      <c r="V94" s="5">
        <v>106.8295</v>
      </c>
      <c r="W94" s="5">
        <v>0.93149999999999999</v>
      </c>
      <c r="X94" s="5" t="s">
        <v>582</v>
      </c>
    </row>
    <row r="95" spans="1:24">
      <c r="A95" t="s">
        <v>37</v>
      </c>
      <c r="B95" t="s">
        <v>38</v>
      </c>
      <c r="C95" t="s">
        <v>369</v>
      </c>
      <c r="D95" t="s">
        <v>127</v>
      </c>
      <c r="E95" t="s">
        <v>127</v>
      </c>
      <c r="G95" t="s">
        <v>371</v>
      </c>
      <c r="L95" t="s">
        <v>372</v>
      </c>
      <c r="M95" t="s">
        <v>24</v>
      </c>
      <c r="O95">
        <v>483</v>
      </c>
      <c r="P95">
        <v>487</v>
      </c>
      <c r="Q95" s="5" t="s">
        <v>371</v>
      </c>
      <c r="R95" s="5" t="s">
        <v>369</v>
      </c>
      <c r="S95" s="5" t="s">
        <v>369</v>
      </c>
      <c r="T95" s="5">
        <v>1</v>
      </c>
      <c r="V95" s="5">
        <v>236.679</v>
      </c>
      <c r="W95" s="5">
        <v>1.0549999999999999</v>
      </c>
      <c r="X95" s="5" t="s">
        <v>583</v>
      </c>
    </row>
    <row r="96" spans="1:24">
      <c r="A96" t="s">
        <v>373</v>
      </c>
      <c r="B96" t="s">
        <v>271</v>
      </c>
      <c r="C96" t="s">
        <v>374</v>
      </c>
      <c r="D96" t="s">
        <v>127</v>
      </c>
      <c r="E96" t="s">
        <v>127</v>
      </c>
      <c r="G96" t="s">
        <v>375</v>
      </c>
      <c r="L96" t="s">
        <v>372</v>
      </c>
      <c r="M96" t="s">
        <v>24</v>
      </c>
      <c r="O96">
        <v>483</v>
      </c>
      <c r="P96">
        <v>487</v>
      </c>
      <c r="Q96" s="5" t="s">
        <v>375</v>
      </c>
      <c r="R96" s="5" t="s">
        <v>374</v>
      </c>
      <c r="S96" s="5" t="s">
        <v>374</v>
      </c>
      <c r="T96" s="5">
        <v>1</v>
      </c>
      <c r="V96" s="5">
        <v>166.6491</v>
      </c>
      <c r="W96" s="5">
        <v>1.0004999999999999</v>
      </c>
      <c r="X96" s="5" t="s">
        <v>584</v>
      </c>
    </row>
    <row r="97" spans="1:24">
      <c r="A97" t="s">
        <v>376</v>
      </c>
      <c r="B97" t="s">
        <v>377</v>
      </c>
      <c r="C97" t="s">
        <v>378</v>
      </c>
      <c r="D97" t="s">
        <v>379</v>
      </c>
      <c r="E97" t="s">
        <v>379</v>
      </c>
      <c r="G97" t="s">
        <v>381</v>
      </c>
      <c r="L97" t="s">
        <v>372</v>
      </c>
      <c r="M97" t="s">
        <v>24</v>
      </c>
      <c r="O97">
        <v>483</v>
      </c>
      <c r="P97">
        <v>487</v>
      </c>
      <c r="Q97" s="5" t="s">
        <v>381</v>
      </c>
      <c r="R97" s="5" t="s">
        <v>378</v>
      </c>
      <c r="S97" s="5" t="s">
        <v>585</v>
      </c>
      <c r="T97" s="5"/>
      <c r="V97" s="5">
        <v>72.669300000000007</v>
      </c>
      <c r="W97" s="5">
        <v>0.872</v>
      </c>
      <c r="X97" s="5" t="s">
        <v>586</v>
      </c>
    </row>
    <row r="98" spans="1:24">
      <c r="A98" t="s">
        <v>382</v>
      </c>
      <c r="B98" t="s">
        <v>383</v>
      </c>
      <c r="C98" t="s">
        <v>384</v>
      </c>
      <c r="D98" t="s">
        <v>127</v>
      </c>
      <c r="E98" t="s">
        <v>127</v>
      </c>
      <c r="G98" t="s">
        <v>386</v>
      </c>
      <c r="L98" t="s">
        <v>372</v>
      </c>
      <c r="M98" t="s">
        <v>24</v>
      </c>
      <c r="O98">
        <v>483</v>
      </c>
      <c r="P98">
        <v>487</v>
      </c>
      <c r="Q98" s="5" t="s">
        <v>386</v>
      </c>
      <c r="R98" s="5" t="s">
        <v>384</v>
      </c>
      <c r="S98" s="5" t="s">
        <v>384</v>
      </c>
      <c r="T98" s="5">
        <v>1</v>
      </c>
      <c r="V98" s="5">
        <v>274.85969999999998</v>
      </c>
      <c r="W98" s="5">
        <v>1.0783</v>
      </c>
      <c r="X98" s="5" t="s">
        <v>587</v>
      </c>
    </row>
    <row r="99" spans="1:24">
      <c r="A99" t="s">
        <v>382</v>
      </c>
      <c r="B99" t="s">
        <v>383</v>
      </c>
      <c r="C99" t="s">
        <v>384</v>
      </c>
      <c r="D99" t="s">
        <v>127</v>
      </c>
      <c r="E99" t="s">
        <v>127</v>
      </c>
      <c r="G99" t="s">
        <v>387</v>
      </c>
      <c r="L99" t="s">
        <v>372</v>
      </c>
      <c r="M99" t="s">
        <v>24</v>
      </c>
      <c r="O99">
        <v>483</v>
      </c>
      <c r="P99">
        <v>487</v>
      </c>
      <c r="Q99" s="5" t="s">
        <v>387</v>
      </c>
      <c r="R99" s="5" t="s">
        <v>384</v>
      </c>
      <c r="S99" s="5" t="s">
        <v>384</v>
      </c>
      <c r="T99" s="5">
        <v>1</v>
      </c>
      <c r="V99" s="5">
        <v>274.85969999999998</v>
      </c>
      <c r="W99" s="5">
        <v>1.0783</v>
      </c>
      <c r="X99" s="5" t="s">
        <v>588</v>
      </c>
    </row>
    <row r="100" spans="1:24">
      <c r="A100" t="s">
        <v>388</v>
      </c>
      <c r="B100" t="s">
        <v>389</v>
      </c>
      <c r="C100" t="s">
        <v>390</v>
      </c>
      <c r="D100" t="s">
        <v>127</v>
      </c>
      <c r="E100" t="s">
        <v>127</v>
      </c>
      <c r="G100" t="s">
        <v>392</v>
      </c>
      <c r="L100" t="s">
        <v>372</v>
      </c>
      <c r="M100" t="s">
        <v>24</v>
      </c>
      <c r="O100">
        <v>483</v>
      </c>
      <c r="P100">
        <v>487</v>
      </c>
      <c r="Q100" s="5" t="s">
        <v>392</v>
      </c>
      <c r="R100" s="5" t="s">
        <v>390</v>
      </c>
      <c r="S100" s="5" t="s">
        <v>390</v>
      </c>
      <c r="T100" s="5">
        <v>1</v>
      </c>
      <c r="V100" s="5">
        <v>122.1253</v>
      </c>
      <c r="W100" s="5">
        <v>0.95220000000000005</v>
      </c>
      <c r="X100" s="5" t="s">
        <v>589</v>
      </c>
    </row>
    <row r="101" spans="1:24">
      <c r="A101" t="s">
        <v>348</v>
      </c>
      <c r="B101" t="s">
        <v>349</v>
      </c>
      <c r="C101" t="s">
        <v>350</v>
      </c>
      <c r="D101" t="s">
        <v>127</v>
      </c>
      <c r="E101" t="s">
        <v>127</v>
      </c>
      <c r="G101" t="s">
        <v>352</v>
      </c>
      <c r="L101" t="s">
        <v>372</v>
      </c>
      <c r="M101" t="s">
        <v>24</v>
      </c>
      <c r="O101">
        <v>483</v>
      </c>
      <c r="P101">
        <v>487</v>
      </c>
      <c r="Q101" s="5" t="s">
        <v>352</v>
      </c>
      <c r="R101" s="5" t="s">
        <v>350</v>
      </c>
      <c r="S101" s="5" t="s">
        <v>350</v>
      </c>
      <c r="T101" s="5">
        <v>1</v>
      </c>
      <c r="V101" s="5">
        <v>160.38130000000001</v>
      </c>
      <c r="W101" s="5">
        <v>0.99450000000000005</v>
      </c>
      <c r="X101" s="5" t="s">
        <v>576</v>
      </c>
    </row>
    <row r="102" spans="1:24">
      <c r="A102" t="s">
        <v>393</v>
      </c>
      <c r="B102" t="s">
        <v>344</v>
      </c>
      <c r="C102" t="s">
        <v>394</v>
      </c>
      <c r="D102" t="s">
        <v>127</v>
      </c>
      <c r="E102" t="s">
        <v>127</v>
      </c>
      <c r="G102" t="s">
        <v>395</v>
      </c>
      <c r="L102" t="s">
        <v>372</v>
      </c>
      <c r="M102" t="s">
        <v>24</v>
      </c>
      <c r="O102">
        <v>483</v>
      </c>
      <c r="P102">
        <v>487</v>
      </c>
      <c r="Q102" s="5" t="s">
        <v>395</v>
      </c>
      <c r="R102" s="5" t="s">
        <v>394</v>
      </c>
      <c r="S102" s="5" t="s">
        <v>394</v>
      </c>
      <c r="T102" s="5">
        <v>1</v>
      </c>
      <c r="V102" s="5">
        <v>130.64340000000001</v>
      </c>
      <c r="W102" s="5">
        <v>0.9627</v>
      </c>
      <c r="X102" s="5" t="s">
        <v>590</v>
      </c>
    </row>
    <row r="103" spans="1:24">
      <c r="A103" t="s">
        <v>396</v>
      </c>
      <c r="B103" t="s">
        <v>397</v>
      </c>
      <c r="C103" t="s">
        <v>398</v>
      </c>
      <c r="D103" t="s">
        <v>127</v>
      </c>
      <c r="E103" t="s">
        <v>127</v>
      </c>
      <c r="G103" t="s">
        <v>400</v>
      </c>
      <c r="L103" t="s">
        <v>372</v>
      </c>
      <c r="M103" t="s">
        <v>24</v>
      </c>
      <c r="O103">
        <v>483</v>
      </c>
      <c r="P103">
        <v>487</v>
      </c>
      <c r="Q103" s="5" t="s">
        <v>400</v>
      </c>
      <c r="R103" s="5" t="s">
        <v>398</v>
      </c>
      <c r="S103" s="5" t="s">
        <v>398</v>
      </c>
      <c r="T103" s="5">
        <v>1</v>
      </c>
      <c r="V103" s="5">
        <v>97.502799999999993</v>
      </c>
      <c r="W103" s="5">
        <v>0.91739999999999999</v>
      </c>
      <c r="X103" s="5" t="s">
        <v>591</v>
      </c>
    </row>
    <row r="104" spans="1:24">
      <c r="A104" t="s">
        <v>401</v>
      </c>
      <c r="B104" t="s">
        <v>397</v>
      </c>
      <c r="C104" t="s">
        <v>402</v>
      </c>
      <c r="D104" t="s">
        <v>379</v>
      </c>
      <c r="E104" t="s">
        <v>379</v>
      </c>
      <c r="G104" t="s">
        <v>403</v>
      </c>
      <c r="L104" t="s">
        <v>372</v>
      </c>
      <c r="M104" t="s">
        <v>24</v>
      </c>
      <c r="O104">
        <v>483</v>
      </c>
      <c r="P104">
        <v>487</v>
      </c>
      <c r="Q104" s="5" t="s">
        <v>403</v>
      </c>
      <c r="R104" s="5" t="s">
        <v>402</v>
      </c>
      <c r="S104" s="5" t="s">
        <v>398</v>
      </c>
      <c r="T104" s="5">
        <v>5</v>
      </c>
      <c r="V104" s="5">
        <v>76.573400000000007</v>
      </c>
      <c r="W104" s="5">
        <v>0.88</v>
      </c>
      <c r="X104" s="5" t="s">
        <v>592</v>
      </c>
    </row>
    <row r="105" spans="1:24">
      <c r="A105" t="s">
        <v>404</v>
      </c>
      <c r="B105" t="s">
        <v>405</v>
      </c>
      <c r="C105" t="s">
        <v>406</v>
      </c>
      <c r="D105" t="s">
        <v>127</v>
      </c>
      <c r="E105" t="s">
        <v>127</v>
      </c>
      <c r="G105" t="s">
        <v>404</v>
      </c>
      <c r="L105" t="s">
        <v>372</v>
      </c>
      <c r="M105" t="s">
        <v>24</v>
      </c>
      <c r="O105">
        <v>483</v>
      </c>
      <c r="P105">
        <v>487</v>
      </c>
      <c r="Q105" s="5" t="s">
        <v>404</v>
      </c>
      <c r="R105" s="5" t="s">
        <v>406</v>
      </c>
      <c r="S105" s="5" t="s">
        <v>406</v>
      </c>
      <c r="T105" s="5">
        <v>1</v>
      </c>
      <c r="V105" s="5">
        <v>230.54509999999999</v>
      </c>
      <c r="W105" s="5">
        <v>1.0508999999999999</v>
      </c>
      <c r="X105" s="5" t="s">
        <v>593</v>
      </c>
    </row>
    <row r="106" spans="1:24">
      <c r="A106" t="s">
        <v>408</v>
      </c>
      <c r="B106" t="s">
        <v>405</v>
      </c>
      <c r="C106" t="s">
        <v>409</v>
      </c>
      <c r="D106" t="s">
        <v>379</v>
      </c>
      <c r="E106" t="s">
        <v>379</v>
      </c>
      <c r="G106" t="s">
        <v>408</v>
      </c>
      <c r="L106" t="s">
        <v>372</v>
      </c>
      <c r="M106" t="s">
        <v>24</v>
      </c>
      <c r="O106">
        <v>483</v>
      </c>
      <c r="P106">
        <v>487</v>
      </c>
      <c r="Q106" s="5" t="s">
        <v>408</v>
      </c>
      <c r="R106" s="5" t="s">
        <v>409</v>
      </c>
      <c r="S106" s="5" t="s">
        <v>409</v>
      </c>
      <c r="T106" s="5">
        <v>1</v>
      </c>
      <c r="V106" s="5">
        <v>233.709</v>
      </c>
      <c r="W106" s="5">
        <v>1.0530999999999999</v>
      </c>
      <c r="X106" s="5" t="s">
        <v>594</v>
      </c>
    </row>
    <row r="107" spans="1:24">
      <c r="A107" t="s">
        <v>410</v>
      </c>
      <c r="B107" t="s">
        <v>595</v>
      </c>
      <c r="C107" t="s">
        <v>411</v>
      </c>
      <c r="D107" t="s">
        <v>127</v>
      </c>
      <c r="E107" t="s">
        <v>127</v>
      </c>
      <c r="G107" t="s">
        <v>412</v>
      </c>
      <c r="L107" t="s">
        <v>372</v>
      </c>
      <c r="M107" t="s">
        <v>24</v>
      </c>
      <c r="O107">
        <v>483</v>
      </c>
      <c r="P107">
        <v>487</v>
      </c>
      <c r="Q107" s="5" t="s">
        <v>412</v>
      </c>
      <c r="R107" s="5" t="s">
        <v>411</v>
      </c>
      <c r="S107" s="5" t="s">
        <v>411</v>
      </c>
      <c r="T107" s="5">
        <v>1</v>
      </c>
      <c r="V107" s="5">
        <v>221.69499999999999</v>
      </c>
      <c r="W107" s="5">
        <v>1.0448</v>
      </c>
      <c r="X107" s="5" t="s">
        <v>596</v>
      </c>
    </row>
    <row r="108" spans="1:24">
      <c r="A108" t="s">
        <v>413</v>
      </c>
      <c r="B108" t="s">
        <v>331</v>
      </c>
      <c r="C108" t="s">
        <v>414</v>
      </c>
      <c r="D108" t="s">
        <v>127</v>
      </c>
      <c r="E108" t="s">
        <v>127</v>
      </c>
      <c r="G108" t="s">
        <v>415</v>
      </c>
      <c r="L108" t="s">
        <v>372</v>
      </c>
      <c r="M108" t="s">
        <v>24</v>
      </c>
      <c r="O108">
        <v>483</v>
      </c>
      <c r="P108">
        <v>487</v>
      </c>
      <c r="Q108" s="7" t="s">
        <v>415</v>
      </c>
      <c r="R108" s="7" t="s">
        <v>414</v>
      </c>
      <c r="S108" s="7" t="s">
        <v>414</v>
      </c>
      <c r="T108" s="7">
        <v>1</v>
      </c>
      <c r="V108" s="7">
        <v>138.0215</v>
      </c>
      <c r="W108" s="7">
        <v>0.97119999999999995</v>
      </c>
      <c r="X108" s="7" t="s">
        <v>597</v>
      </c>
    </row>
  </sheetData>
  <mergeCells count="3">
    <mergeCell ref="A8:E8"/>
    <mergeCell ref="F8:L8"/>
    <mergeCell ref="Q8:W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D98B-B6BF-47F6-914F-2F52A51A0FBC}">
  <dimension ref="A1:Z108"/>
  <sheetViews>
    <sheetView zoomScale="80" zoomScaleNormal="80" workbookViewId="0">
      <pane ySplit="9" topLeftCell="A10" activePane="bottomLeft" state="frozen"/>
      <selection pane="bottomLeft" activeCell="A6" sqref="A6"/>
    </sheetView>
  </sheetViews>
  <sheetFormatPr defaultRowHeight="15"/>
  <cols>
    <col min="1" max="1" width="28.7109375" customWidth="1"/>
    <col min="2" max="2" width="24.5703125" bestFit="1" customWidth="1"/>
    <col min="3" max="3" width="26.140625" customWidth="1"/>
    <col min="4" max="4" width="23.28515625" bestFit="1" customWidth="1"/>
    <col min="5" max="5" width="14.140625" customWidth="1"/>
    <col min="6" max="6" width="33.28515625" customWidth="1"/>
    <col min="7" max="7" width="22.28515625" customWidth="1"/>
    <col min="8" max="8" width="18.140625" bestFit="1" customWidth="1"/>
    <col min="9" max="9" width="6.28515625" customWidth="1"/>
    <col min="10" max="10" width="5.85546875" customWidth="1"/>
    <col min="11" max="11" width="6.85546875" customWidth="1"/>
    <col min="12" max="12" width="16.28515625" customWidth="1"/>
    <col min="13" max="13" width="12.5703125" customWidth="1"/>
    <col min="14" max="14" width="16.5703125" customWidth="1"/>
    <col min="15" max="15" width="14.28515625" customWidth="1"/>
    <col min="16" max="16" width="15.28515625" customWidth="1"/>
    <col min="18" max="18" width="15.5703125" customWidth="1"/>
    <col min="19" max="19" width="14.7109375" customWidth="1"/>
    <col min="20" max="23" width="17.28515625" customWidth="1"/>
  </cols>
  <sheetData>
    <row r="1" spans="1:26">
      <c r="A1" t="s">
        <v>423</v>
      </c>
    </row>
    <row r="2" spans="1:26">
      <c r="A2" t="s">
        <v>425</v>
      </c>
    </row>
    <row r="3" spans="1:26">
      <c r="A3" t="s">
        <v>416</v>
      </c>
      <c r="B3" t="s">
        <v>598</v>
      </c>
    </row>
    <row r="4" spans="1:26">
      <c r="A4" t="s">
        <v>427</v>
      </c>
    </row>
    <row r="5" spans="1:26">
      <c r="A5" t="s">
        <v>428</v>
      </c>
    </row>
    <row r="8" spans="1:26">
      <c r="A8" s="46" t="s">
        <v>429</v>
      </c>
      <c r="B8" s="46"/>
      <c r="C8" s="46"/>
      <c r="D8" s="46"/>
      <c r="E8" s="46"/>
      <c r="F8" s="47" t="s">
        <v>430</v>
      </c>
      <c r="G8" s="47"/>
      <c r="H8" s="47"/>
      <c r="I8" s="47"/>
      <c r="J8" s="47"/>
      <c r="K8" s="47"/>
      <c r="L8" s="47"/>
      <c r="Q8" s="48" t="s">
        <v>431</v>
      </c>
      <c r="R8" s="48"/>
      <c r="S8" s="48"/>
      <c r="T8" s="48"/>
      <c r="U8" s="48"/>
      <c r="V8" s="48"/>
      <c r="W8" s="48"/>
      <c r="X8" s="48"/>
      <c r="Y8" s="48"/>
      <c r="Z8" s="48"/>
    </row>
    <row r="9" spans="1:26" s="1" customFormat="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432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433</v>
      </c>
      <c r="R9" s="1" t="s">
        <v>434</v>
      </c>
      <c r="S9" s="1" t="s">
        <v>435</v>
      </c>
      <c r="T9" s="1" t="s">
        <v>436</v>
      </c>
      <c r="U9" s="1" t="s">
        <v>599</v>
      </c>
      <c r="V9" s="1" t="s">
        <v>600</v>
      </c>
      <c r="W9" s="1" t="s">
        <v>601</v>
      </c>
      <c r="X9" s="1" t="s">
        <v>437</v>
      </c>
    </row>
    <row r="10" spans="1:2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16</v>
      </c>
      <c r="G10" t="s">
        <v>21</v>
      </c>
      <c r="H10" t="s">
        <v>22</v>
      </c>
      <c r="L10" t="s">
        <v>23</v>
      </c>
      <c r="M10" t="s">
        <v>24</v>
      </c>
      <c r="N10" t="s">
        <v>25</v>
      </c>
    </row>
    <row r="11" spans="1:26">
      <c r="A11" t="s">
        <v>26</v>
      </c>
      <c r="B11" t="s">
        <v>27</v>
      </c>
      <c r="C11" t="s">
        <v>28</v>
      </c>
      <c r="D11" t="s">
        <v>19</v>
      </c>
      <c r="E11" t="s">
        <v>20</v>
      </c>
      <c r="F11" t="s">
        <v>29</v>
      </c>
      <c r="G11" t="s">
        <v>30</v>
      </c>
      <c r="L11" t="s">
        <v>23</v>
      </c>
      <c r="M11" t="s">
        <v>24</v>
      </c>
      <c r="N11" t="s">
        <v>25</v>
      </c>
    </row>
    <row r="12" spans="1:26">
      <c r="A12" t="s">
        <v>32</v>
      </c>
      <c r="B12" t="s">
        <v>33</v>
      </c>
      <c r="C12" t="s">
        <v>34</v>
      </c>
      <c r="D12" t="s">
        <v>19</v>
      </c>
      <c r="E12" t="s">
        <v>20</v>
      </c>
      <c r="F12" t="s">
        <v>32</v>
      </c>
      <c r="G12" t="s">
        <v>35</v>
      </c>
      <c r="H12" t="s">
        <v>22</v>
      </c>
      <c r="I12" t="s">
        <v>36</v>
      </c>
      <c r="L12" t="s">
        <v>23</v>
      </c>
      <c r="M12" t="s">
        <v>24</v>
      </c>
      <c r="N12" t="s">
        <v>25</v>
      </c>
    </row>
    <row r="13" spans="1:26">
      <c r="A13" t="s">
        <v>37</v>
      </c>
      <c r="B13" t="s">
        <v>38</v>
      </c>
      <c r="C13" t="s">
        <v>39</v>
      </c>
      <c r="D13" t="s">
        <v>19</v>
      </c>
      <c r="E13" t="s">
        <v>20</v>
      </c>
      <c r="F13" t="s">
        <v>37</v>
      </c>
      <c r="G13" t="s">
        <v>40</v>
      </c>
      <c r="H13" t="s">
        <v>22</v>
      </c>
      <c r="L13" t="s">
        <v>23</v>
      </c>
      <c r="M13" t="s">
        <v>24</v>
      </c>
      <c r="N13" t="s">
        <v>25</v>
      </c>
    </row>
    <row r="14" spans="1:26">
      <c r="A14" t="s">
        <v>41</v>
      </c>
      <c r="B14" t="s">
        <v>42</v>
      </c>
      <c r="C14" t="s">
        <v>43</v>
      </c>
      <c r="D14" t="s">
        <v>44</v>
      </c>
      <c r="E14" t="s">
        <v>20</v>
      </c>
      <c r="F14" t="s">
        <v>45</v>
      </c>
      <c r="G14" t="s">
        <v>46</v>
      </c>
      <c r="H14" t="s">
        <v>47</v>
      </c>
      <c r="I14" t="s">
        <v>48</v>
      </c>
      <c r="L14" t="s">
        <v>23</v>
      </c>
      <c r="M14" t="s">
        <v>24</v>
      </c>
      <c r="N14" t="s">
        <v>25</v>
      </c>
    </row>
    <row r="15" spans="1:26">
      <c r="A15" t="s">
        <v>41</v>
      </c>
      <c r="B15" t="s">
        <v>42</v>
      </c>
      <c r="C15" t="s">
        <v>50</v>
      </c>
      <c r="D15" t="s">
        <v>19</v>
      </c>
      <c r="E15" t="s">
        <v>20</v>
      </c>
      <c r="F15" t="s">
        <v>45</v>
      </c>
      <c r="G15" t="s">
        <v>51</v>
      </c>
      <c r="H15" t="s">
        <v>22</v>
      </c>
      <c r="I15" t="s">
        <v>52</v>
      </c>
      <c r="L15" t="s">
        <v>23</v>
      </c>
      <c r="M15" t="s">
        <v>24</v>
      </c>
      <c r="N15" t="s">
        <v>25</v>
      </c>
    </row>
    <row r="16" spans="1:26">
      <c r="A16" t="s">
        <v>53</v>
      </c>
      <c r="B16" t="s">
        <v>54</v>
      </c>
      <c r="C16" t="s">
        <v>55</v>
      </c>
      <c r="D16" t="s">
        <v>19</v>
      </c>
      <c r="E16" t="s">
        <v>20</v>
      </c>
      <c r="F16" t="s">
        <v>53</v>
      </c>
      <c r="G16" t="s">
        <v>56</v>
      </c>
      <c r="H16" t="s">
        <v>22</v>
      </c>
      <c r="I16" t="s">
        <v>57</v>
      </c>
      <c r="L16" t="s">
        <v>23</v>
      </c>
      <c r="M16" t="s">
        <v>24</v>
      </c>
      <c r="N16" t="s">
        <v>25</v>
      </c>
    </row>
    <row r="17" spans="1:14">
      <c r="A17" t="s">
        <v>58</v>
      </c>
      <c r="B17" t="s">
        <v>59</v>
      </c>
      <c r="C17" t="s">
        <v>60</v>
      </c>
      <c r="D17" t="s">
        <v>44</v>
      </c>
      <c r="E17" t="s">
        <v>20</v>
      </c>
      <c r="F17" t="s">
        <v>61</v>
      </c>
      <c r="G17" t="s">
        <v>62</v>
      </c>
      <c r="H17" t="s">
        <v>47</v>
      </c>
      <c r="L17" t="s">
        <v>23</v>
      </c>
      <c r="M17" t="s">
        <v>24</v>
      </c>
      <c r="N17" t="s">
        <v>25</v>
      </c>
    </row>
    <row r="18" spans="1:14">
      <c r="A18" t="s">
        <v>63</v>
      </c>
      <c r="B18" t="s">
        <v>64</v>
      </c>
      <c r="C18" t="s">
        <v>65</v>
      </c>
      <c r="D18" t="s">
        <v>19</v>
      </c>
      <c r="E18" t="s">
        <v>20</v>
      </c>
      <c r="F18" t="s">
        <v>66</v>
      </c>
      <c r="G18" t="s">
        <v>67</v>
      </c>
      <c r="H18" t="s">
        <v>22</v>
      </c>
      <c r="L18" t="s">
        <v>23</v>
      </c>
      <c r="M18" t="s">
        <v>24</v>
      </c>
      <c r="N18" t="s">
        <v>25</v>
      </c>
    </row>
    <row r="19" spans="1:14">
      <c r="A19" t="s">
        <v>68</v>
      </c>
      <c r="B19" t="s">
        <v>69</v>
      </c>
      <c r="C19" t="s">
        <v>70</v>
      </c>
      <c r="D19" t="s">
        <v>19</v>
      </c>
      <c r="E19" t="s">
        <v>20</v>
      </c>
      <c r="F19" t="s">
        <v>71</v>
      </c>
      <c r="G19" t="s">
        <v>72</v>
      </c>
      <c r="H19" t="s">
        <v>22</v>
      </c>
      <c r="I19" t="s">
        <v>73</v>
      </c>
      <c r="L19" t="s">
        <v>23</v>
      </c>
      <c r="M19" t="s">
        <v>24</v>
      </c>
      <c r="N19" t="s">
        <v>25</v>
      </c>
    </row>
    <row r="20" spans="1:14">
      <c r="A20" t="s">
        <v>68</v>
      </c>
      <c r="B20" t="s">
        <v>69</v>
      </c>
      <c r="D20" t="s">
        <v>19</v>
      </c>
      <c r="E20" t="s">
        <v>20</v>
      </c>
      <c r="F20" t="s">
        <v>74</v>
      </c>
      <c r="G20" t="s">
        <v>75</v>
      </c>
      <c r="H20" t="s">
        <v>22</v>
      </c>
      <c r="I20" t="s">
        <v>73</v>
      </c>
      <c r="L20" t="s">
        <v>23</v>
      </c>
      <c r="M20" t="s">
        <v>24</v>
      </c>
      <c r="N20" t="s">
        <v>25</v>
      </c>
    </row>
    <row r="21" spans="1:14">
      <c r="A21" t="s">
        <v>76</v>
      </c>
      <c r="B21" t="s">
        <v>77</v>
      </c>
      <c r="C21" t="s">
        <v>78</v>
      </c>
      <c r="D21" t="s">
        <v>79</v>
      </c>
      <c r="E21" t="s">
        <v>20</v>
      </c>
      <c r="F21" t="s">
        <v>80</v>
      </c>
      <c r="G21" t="s">
        <v>81</v>
      </c>
      <c r="H21" t="s">
        <v>82</v>
      </c>
      <c r="L21" t="s">
        <v>23</v>
      </c>
      <c r="M21" t="s">
        <v>24</v>
      </c>
      <c r="N21" t="s">
        <v>25</v>
      </c>
    </row>
    <row r="22" spans="1:14">
      <c r="A22" t="s">
        <v>83</v>
      </c>
      <c r="B22" t="s">
        <v>84</v>
      </c>
      <c r="C22" t="s">
        <v>85</v>
      </c>
      <c r="D22" t="s">
        <v>79</v>
      </c>
      <c r="E22" t="s">
        <v>20</v>
      </c>
      <c r="F22" t="s">
        <v>86</v>
      </c>
      <c r="G22" t="s">
        <v>87</v>
      </c>
      <c r="H22" t="s">
        <v>82</v>
      </c>
      <c r="L22" t="s">
        <v>23</v>
      </c>
      <c r="M22" t="s">
        <v>24</v>
      </c>
      <c r="N22" t="s">
        <v>25</v>
      </c>
    </row>
    <row r="23" spans="1:14">
      <c r="A23" t="s">
        <v>88</v>
      </c>
      <c r="B23" t="s">
        <v>89</v>
      </c>
      <c r="C23" t="s">
        <v>90</v>
      </c>
      <c r="D23" t="s">
        <v>19</v>
      </c>
      <c r="E23" t="s">
        <v>20</v>
      </c>
      <c r="F23" t="s">
        <v>91</v>
      </c>
      <c r="G23" t="s">
        <v>92</v>
      </c>
      <c r="H23" t="s">
        <v>22</v>
      </c>
      <c r="I23" t="s">
        <v>93</v>
      </c>
      <c r="L23" t="s">
        <v>23</v>
      </c>
      <c r="M23" t="s">
        <v>24</v>
      </c>
      <c r="N23" t="s">
        <v>25</v>
      </c>
    </row>
    <row r="24" spans="1:14">
      <c r="A24" t="s">
        <v>94</v>
      </c>
      <c r="B24" t="s">
        <v>95</v>
      </c>
      <c r="C24" t="s">
        <v>96</v>
      </c>
      <c r="D24" t="s">
        <v>44</v>
      </c>
      <c r="E24" t="s">
        <v>20</v>
      </c>
      <c r="F24" t="s">
        <v>94</v>
      </c>
      <c r="G24" t="s">
        <v>97</v>
      </c>
      <c r="H24" t="s">
        <v>47</v>
      </c>
      <c r="I24" t="s">
        <v>98</v>
      </c>
      <c r="L24" t="s">
        <v>23</v>
      </c>
      <c r="M24" t="s">
        <v>24</v>
      </c>
      <c r="N24" t="s">
        <v>25</v>
      </c>
    </row>
    <row r="25" spans="1:14">
      <c r="A25" t="s">
        <v>99</v>
      </c>
      <c r="B25" t="s">
        <v>100</v>
      </c>
      <c r="C25" t="s">
        <v>101</v>
      </c>
      <c r="D25" t="s">
        <v>44</v>
      </c>
      <c r="E25" t="s">
        <v>20</v>
      </c>
      <c r="F25" t="s">
        <v>102</v>
      </c>
      <c r="G25" t="s">
        <v>103</v>
      </c>
      <c r="H25" t="s">
        <v>47</v>
      </c>
      <c r="I25" t="s">
        <v>104</v>
      </c>
      <c r="L25" t="s">
        <v>23</v>
      </c>
      <c r="M25" t="s">
        <v>24</v>
      </c>
      <c r="N25" t="s">
        <v>25</v>
      </c>
    </row>
    <row r="26" spans="1:14">
      <c r="A26" t="s">
        <v>105</v>
      </c>
      <c r="B26" t="s">
        <v>106</v>
      </c>
      <c r="C26" t="s">
        <v>107</v>
      </c>
      <c r="D26" t="s">
        <v>19</v>
      </c>
      <c r="E26" t="s">
        <v>20</v>
      </c>
      <c r="F26" t="s">
        <v>108</v>
      </c>
      <c r="G26" t="s">
        <v>109</v>
      </c>
      <c r="H26" t="s">
        <v>22</v>
      </c>
      <c r="I26" t="s">
        <v>110</v>
      </c>
      <c r="L26" t="s">
        <v>23</v>
      </c>
      <c r="M26" t="s">
        <v>24</v>
      </c>
      <c r="N26" t="s">
        <v>25</v>
      </c>
    </row>
    <row r="27" spans="1:14">
      <c r="A27" t="s">
        <v>111</v>
      </c>
      <c r="B27" t="s">
        <v>112</v>
      </c>
      <c r="C27" t="s">
        <v>113</v>
      </c>
      <c r="D27" t="s">
        <v>19</v>
      </c>
      <c r="E27" t="s">
        <v>20</v>
      </c>
      <c r="F27" t="s">
        <v>111</v>
      </c>
      <c r="G27" t="s">
        <v>114</v>
      </c>
      <c r="H27" t="s">
        <v>22</v>
      </c>
      <c r="L27" t="s">
        <v>23</v>
      </c>
      <c r="M27" t="s">
        <v>24</v>
      </c>
      <c r="N27" t="s">
        <v>25</v>
      </c>
    </row>
    <row r="28" spans="1:14">
      <c r="A28" t="s">
        <v>115</v>
      </c>
      <c r="B28" t="s">
        <v>116</v>
      </c>
      <c r="C28" t="s">
        <v>117</v>
      </c>
      <c r="D28" t="s">
        <v>19</v>
      </c>
      <c r="E28" t="s">
        <v>20</v>
      </c>
      <c r="F28" t="s">
        <v>118</v>
      </c>
      <c r="G28" t="s">
        <v>119</v>
      </c>
      <c r="H28" t="s">
        <v>22</v>
      </c>
      <c r="I28" t="s">
        <v>120</v>
      </c>
      <c r="L28" t="s">
        <v>23</v>
      </c>
      <c r="M28" t="s">
        <v>24</v>
      </c>
      <c r="N28" t="s">
        <v>25</v>
      </c>
    </row>
    <row r="29" spans="1:14">
      <c r="A29" t="s">
        <v>115</v>
      </c>
      <c r="B29" t="s">
        <v>116</v>
      </c>
      <c r="C29" t="s">
        <v>117</v>
      </c>
      <c r="D29" t="s">
        <v>19</v>
      </c>
      <c r="E29" t="s">
        <v>20</v>
      </c>
      <c r="F29" t="s">
        <v>121</v>
      </c>
      <c r="G29" t="s">
        <v>122</v>
      </c>
      <c r="H29" t="s">
        <v>22</v>
      </c>
      <c r="I29" t="s">
        <v>123</v>
      </c>
      <c r="L29" t="s">
        <v>23</v>
      </c>
      <c r="M29" t="s">
        <v>24</v>
      </c>
      <c r="N29" t="s">
        <v>25</v>
      </c>
    </row>
    <row r="30" spans="1:14">
      <c r="A30" t="s">
        <v>124</v>
      </c>
      <c r="B30" t="s">
        <v>125</v>
      </c>
      <c r="C30" t="s">
        <v>126</v>
      </c>
      <c r="D30" t="s">
        <v>127</v>
      </c>
      <c r="E30" t="s">
        <v>127</v>
      </c>
      <c r="F30" t="s">
        <v>128</v>
      </c>
      <c r="G30" t="s">
        <v>128</v>
      </c>
      <c r="L30" t="s">
        <v>23</v>
      </c>
      <c r="M30" t="s">
        <v>24</v>
      </c>
      <c r="N30" t="s">
        <v>25</v>
      </c>
    </row>
    <row r="31" spans="1:14">
      <c r="A31" t="s">
        <v>129</v>
      </c>
      <c r="B31" t="s">
        <v>130</v>
      </c>
      <c r="C31" t="s">
        <v>131</v>
      </c>
      <c r="D31" t="s">
        <v>127</v>
      </c>
      <c r="E31" t="s">
        <v>127</v>
      </c>
      <c r="F31" t="s">
        <v>132</v>
      </c>
      <c r="G31" t="s">
        <v>133</v>
      </c>
      <c r="L31" t="s">
        <v>23</v>
      </c>
      <c r="M31" t="s">
        <v>24</v>
      </c>
      <c r="N31" t="s">
        <v>25</v>
      </c>
    </row>
    <row r="32" spans="1:14">
      <c r="A32" t="s">
        <v>134</v>
      </c>
      <c r="B32" t="s">
        <v>135</v>
      </c>
      <c r="C32" t="s">
        <v>136</v>
      </c>
      <c r="D32" t="s">
        <v>19</v>
      </c>
      <c r="E32" t="s">
        <v>20</v>
      </c>
      <c r="F32" t="s">
        <v>134</v>
      </c>
      <c r="G32" t="s">
        <v>137</v>
      </c>
      <c r="H32" t="s">
        <v>22</v>
      </c>
      <c r="L32" t="s">
        <v>23</v>
      </c>
      <c r="M32" t="s">
        <v>24</v>
      </c>
      <c r="N32" t="s">
        <v>25</v>
      </c>
    </row>
    <row r="33" spans="1:14">
      <c r="A33" t="s">
        <v>138</v>
      </c>
      <c r="B33" t="s">
        <v>84</v>
      </c>
      <c r="C33" t="s">
        <v>139</v>
      </c>
      <c r="D33" t="s">
        <v>19</v>
      </c>
      <c r="E33" t="s">
        <v>20</v>
      </c>
      <c r="F33" t="s">
        <v>86</v>
      </c>
      <c r="G33" t="s">
        <v>140</v>
      </c>
      <c r="H33" t="s">
        <v>22</v>
      </c>
      <c r="I33" t="s">
        <v>141</v>
      </c>
      <c r="L33" t="s">
        <v>23</v>
      </c>
      <c r="M33" t="s">
        <v>24</v>
      </c>
      <c r="N33" t="s">
        <v>25</v>
      </c>
    </row>
    <row r="34" spans="1:14">
      <c r="A34" t="s">
        <v>142</v>
      </c>
      <c r="B34" t="s">
        <v>143</v>
      </c>
      <c r="C34" t="s">
        <v>144</v>
      </c>
      <c r="D34" t="s">
        <v>19</v>
      </c>
      <c r="E34" t="s">
        <v>20</v>
      </c>
      <c r="F34" t="s">
        <v>145</v>
      </c>
      <c r="G34" t="s">
        <v>146</v>
      </c>
      <c r="H34" t="s">
        <v>22</v>
      </c>
      <c r="L34" t="s">
        <v>23</v>
      </c>
      <c r="M34" t="s">
        <v>24</v>
      </c>
      <c r="N34" t="s">
        <v>25</v>
      </c>
    </row>
    <row r="35" spans="1:14">
      <c r="A35" t="s">
        <v>147</v>
      </c>
      <c r="B35" t="s">
        <v>148</v>
      </c>
      <c r="C35" t="s">
        <v>149</v>
      </c>
      <c r="D35" t="s">
        <v>19</v>
      </c>
      <c r="E35" t="s">
        <v>20</v>
      </c>
      <c r="F35" t="s">
        <v>147</v>
      </c>
      <c r="G35" t="s">
        <v>150</v>
      </c>
      <c r="H35" t="s">
        <v>22</v>
      </c>
      <c r="I35" t="s">
        <v>151</v>
      </c>
      <c r="L35" t="s">
        <v>23</v>
      </c>
      <c r="M35" t="s">
        <v>24</v>
      </c>
      <c r="N35" t="s">
        <v>25</v>
      </c>
    </row>
    <row r="36" spans="1:14" s="2" customFormat="1">
      <c r="A36" s="2" t="s">
        <v>152</v>
      </c>
      <c r="B36" s="2" t="s">
        <v>152</v>
      </c>
      <c r="C36" s="2" t="s">
        <v>153</v>
      </c>
      <c r="D36" s="2" t="s">
        <v>19</v>
      </c>
      <c r="E36" s="2" t="s">
        <v>20</v>
      </c>
      <c r="F36" s="2" t="s">
        <v>154</v>
      </c>
      <c r="G36" s="2" t="s">
        <v>155</v>
      </c>
      <c r="H36" s="2" t="s">
        <v>22</v>
      </c>
      <c r="I36" s="2" t="s">
        <v>156</v>
      </c>
      <c r="L36" t="s">
        <v>23</v>
      </c>
      <c r="M36" t="s">
        <v>24</v>
      </c>
      <c r="N36" t="s">
        <v>49</v>
      </c>
    </row>
    <row r="37" spans="1:14">
      <c r="A37" s="2" t="s">
        <v>157</v>
      </c>
      <c r="B37" s="2" t="s">
        <v>158</v>
      </c>
      <c r="C37" s="2" t="s">
        <v>159</v>
      </c>
      <c r="D37" s="2" t="s">
        <v>19</v>
      </c>
      <c r="E37" s="2" t="s">
        <v>20</v>
      </c>
      <c r="F37" s="2" t="s">
        <v>157</v>
      </c>
      <c r="G37" s="2" t="s">
        <v>160</v>
      </c>
      <c r="H37" s="2" t="s">
        <v>22</v>
      </c>
      <c r="I37" s="2" t="s">
        <v>161</v>
      </c>
      <c r="J37" s="2"/>
      <c r="K37" s="2"/>
      <c r="L37" t="s">
        <v>23</v>
      </c>
      <c r="M37" t="s">
        <v>24</v>
      </c>
      <c r="N37" t="s">
        <v>25</v>
      </c>
    </row>
    <row r="38" spans="1:14">
      <c r="A38" s="2" t="s">
        <v>162</v>
      </c>
      <c r="B38" s="2" t="s">
        <v>163</v>
      </c>
      <c r="C38" s="2" t="s">
        <v>164</v>
      </c>
      <c r="D38" s="2" t="s">
        <v>19</v>
      </c>
      <c r="E38" s="2" t="s">
        <v>20</v>
      </c>
      <c r="F38" s="2" t="s">
        <v>165</v>
      </c>
      <c r="G38" s="2" t="s">
        <v>166</v>
      </c>
      <c r="H38" s="2" t="s">
        <v>22</v>
      </c>
      <c r="I38" s="2" t="s">
        <v>167</v>
      </c>
      <c r="J38" s="2"/>
      <c r="K38" s="2"/>
      <c r="L38" t="s">
        <v>23</v>
      </c>
      <c r="M38" t="s">
        <v>24</v>
      </c>
      <c r="N38" t="s">
        <v>49</v>
      </c>
    </row>
    <row r="39" spans="1:14">
      <c r="A39" s="2" t="s">
        <v>165</v>
      </c>
      <c r="B39" s="2" t="s">
        <v>168</v>
      </c>
      <c r="C39" s="2" t="s">
        <v>169</v>
      </c>
      <c r="D39" s="2" t="s">
        <v>19</v>
      </c>
      <c r="E39" s="2" t="s">
        <v>20</v>
      </c>
      <c r="F39" s="2" t="s">
        <v>165</v>
      </c>
      <c r="G39" s="2" t="s">
        <v>170</v>
      </c>
      <c r="H39" s="2" t="s">
        <v>22</v>
      </c>
      <c r="I39" s="2" t="s">
        <v>171</v>
      </c>
      <c r="J39" s="2"/>
      <c r="K39" s="2"/>
      <c r="L39" t="s">
        <v>23</v>
      </c>
      <c r="M39" t="s">
        <v>24</v>
      </c>
      <c r="N39" t="s">
        <v>49</v>
      </c>
    </row>
    <row r="40" spans="1:14">
      <c r="A40" s="2" t="s">
        <v>172</v>
      </c>
      <c r="B40" s="2" t="s">
        <v>173</v>
      </c>
      <c r="C40" s="2" t="s">
        <v>174</v>
      </c>
      <c r="D40" s="2" t="s">
        <v>19</v>
      </c>
      <c r="E40" s="2" t="s">
        <v>20</v>
      </c>
      <c r="F40" s="2" t="s">
        <v>175</v>
      </c>
      <c r="G40" s="2" t="s">
        <v>176</v>
      </c>
      <c r="H40" s="2"/>
      <c r="I40" s="2"/>
      <c r="J40" s="2"/>
      <c r="K40" s="2"/>
      <c r="L40" t="s">
        <v>23</v>
      </c>
      <c r="M40" t="s">
        <v>24</v>
      </c>
      <c r="N40" t="s">
        <v>49</v>
      </c>
    </row>
    <row r="41" spans="1:14">
      <c r="A41" s="2" t="s">
        <v>172</v>
      </c>
      <c r="B41" s="2" t="s">
        <v>173</v>
      </c>
      <c r="C41" s="2" t="s">
        <v>174</v>
      </c>
      <c r="D41" s="2" t="s">
        <v>19</v>
      </c>
      <c r="E41" s="2" t="s">
        <v>20</v>
      </c>
      <c r="F41" s="2" t="s">
        <v>175</v>
      </c>
      <c r="G41" s="2" t="s">
        <v>176</v>
      </c>
      <c r="H41" s="2"/>
      <c r="I41" s="2"/>
      <c r="J41" s="2"/>
      <c r="K41" s="2"/>
      <c r="L41" t="s">
        <v>23</v>
      </c>
      <c r="M41" t="s">
        <v>24</v>
      </c>
      <c r="N41" t="s">
        <v>49</v>
      </c>
    </row>
    <row r="42" spans="1:14">
      <c r="A42" t="s">
        <v>16</v>
      </c>
      <c r="B42" t="s">
        <v>17</v>
      </c>
      <c r="C42" t="s">
        <v>177</v>
      </c>
      <c r="D42" t="s">
        <v>44</v>
      </c>
      <c r="E42" t="s">
        <v>20</v>
      </c>
      <c r="F42" t="s">
        <v>178</v>
      </c>
      <c r="H42" t="s">
        <v>179</v>
      </c>
      <c r="J42">
        <v>15670</v>
      </c>
      <c r="L42" t="s">
        <v>180</v>
      </c>
      <c r="M42" t="s">
        <v>24</v>
      </c>
      <c r="N42" t="s">
        <v>49</v>
      </c>
    </row>
    <row r="43" spans="1:14">
      <c r="A43" t="s">
        <v>26</v>
      </c>
      <c r="B43" t="s">
        <v>27</v>
      </c>
      <c r="C43" t="s">
        <v>181</v>
      </c>
      <c r="D43" t="s">
        <v>127</v>
      </c>
      <c r="E43" t="s">
        <v>127</v>
      </c>
      <c r="F43" t="s">
        <v>182</v>
      </c>
      <c r="H43" t="s">
        <v>183</v>
      </c>
      <c r="J43">
        <v>12867</v>
      </c>
      <c r="L43" t="s">
        <v>180</v>
      </c>
      <c r="M43" t="s">
        <v>24</v>
      </c>
      <c r="N43" t="s">
        <v>421</v>
      </c>
    </row>
    <row r="44" spans="1:14">
      <c r="A44" t="s">
        <v>184</v>
      </c>
      <c r="B44" t="s">
        <v>185</v>
      </c>
      <c r="C44" t="s">
        <v>186</v>
      </c>
      <c r="D44" t="s">
        <v>19</v>
      </c>
      <c r="E44" t="s">
        <v>20</v>
      </c>
      <c r="F44" t="s">
        <v>187</v>
      </c>
      <c r="H44" t="s">
        <v>188</v>
      </c>
      <c r="J44">
        <v>15010</v>
      </c>
      <c r="L44" t="s">
        <v>180</v>
      </c>
      <c r="M44" t="s">
        <v>24</v>
      </c>
      <c r="N44" t="s">
        <v>25</v>
      </c>
    </row>
    <row r="45" spans="1:14">
      <c r="A45" t="s">
        <v>53</v>
      </c>
      <c r="B45" t="s">
        <v>54</v>
      </c>
      <c r="C45" t="s">
        <v>55</v>
      </c>
      <c r="D45" t="s">
        <v>19</v>
      </c>
      <c r="E45" t="s">
        <v>20</v>
      </c>
      <c r="F45" t="s">
        <v>53</v>
      </c>
      <c r="H45" t="s">
        <v>189</v>
      </c>
      <c r="J45">
        <v>5628</v>
      </c>
      <c r="L45" t="s">
        <v>180</v>
      </c>
      <c r="M45" t="s">
        <v>24</v>
      </c>
      <c r="N45" t="s">
        <v>25</v>
      </c>
    </row>
    <row r="46" spans="1:14">
      <c r="A46" t="s">
        <v>190</v>
      </c>
      <c r="B46" t="s">
        <v>191</v>
      </c>
      <c r="C46" t="s">
        <v>192</v>
      </c>
      <c r="D46" t="s">
        <v>19</v>
      </c>
      <c r="E46" t="s">
        <v>20</v>
      </c>
      <c r="F46" t="s">
        <v>193</v>
      </c>
      <c r="H46" t="s">
        <v>22</v>
      </c>
      <c r="J46">
        <v>3130</v>
      </c>
      <c r="L46" t="s">
        <v>180</v>
      </c>
      <c r="M46" t="s">
        <v>24</v>
      </c>
      <c r="N46" t="s">
        <v>25</v>
      </c>
    </row>
    <row r="47" spans="1:14">
      <c r="A47" t="s">
        <v>68</v>
      </c>
      <c r="B47" t="s">
        <v>69</v>
      </c>
      <c r="C47" t="s">
        <v>70</v>
      </c>
      <c r="D47" t="s">
        <v>19</v>
      </c>
      <c r="E47" t="s">
        <v>20</v>
      </c>
      <c r="F47" t="s">
        <v>194</v>
      </c>
      <c r="H47" t="s">
        <v>189</v>
      </c>
      <c r="J47">
        <v>3155</v>
      </c>
      <c r="L47" t="s">
        <v>180</v>
      </c>
      <c r="M47" t="s">
        <v>24</v>
      </c>
      <c r="N47" t="s">
        <v>25</v>
      </c>
    </row>
    <row r="48" spans="1:14">
      <c r="A48" t="s">
        <v>195</v>
      </c>
      <c r="B48" t="s">
        <v>196</v>
      </c>
      <c r="C48" t="s">
        <v>197</v>
      </c>
      <c r="D48" t="s">
        <v>19</v>
      </c>
      <c r="E48" t="s">
        <v>20</v>
      </c>
      <c r="F48" t="s">
        <v>198</v>
      </c>
      <c r="H48" t="s">
        <v>189</v>
      </c>
      <c r="J48">
        <v>3098</v>
      </c>
      <c r="L48" t="s">
        <v>180</v>
      </c>
      <c r="M48" t="s">
        <v>24</v>
      </c>
      <c r="N48" t="s">
        <v>25</v>
      </c>
    </row>
    <row r="49" spans="1:14">
      <c r="A49" t="s">
        <v>199</v>
      </c>
      <c r="B49" t="s">
        <v>200</v>
      </c>
      <c r="C49" t="s">
        <v>201</v>
      </c>
      <c r="D49" t="s">
        <v>19</v>
      </c>
      <c r="E49" t="s">
        <v>20</v>
      </c>
      <c r="F49" t="s">
        <v>202</v>
      </c>
      <c r="H49" t="s">
        <v>203</v>
      </c>
      <c r="J49">
        <v>3240</v>
      </c>
      <c r="L49" t="s">
        <v>180</v>
      </c>
      <c r="M49" t="s">
        <v>24</v>
      </c>
      <c r="N49" t="s">
        <v>25</v>
      </c>
    </row>
    <row r="50" spans="1:14">
      <c r="A50" t="s">
        <v>204</v>
      </c>
      <c r="B50" t="s">
        <v>205</v>
      </c>
      <c r="C50" t="s">
        <v>206</v>
      </c>
      <c r="D50" t="s">
        <v>19</v>
      </c>
      <c r="E50" t="s">
        <v>20</v>
      </c>
      <c r="F50" t="s">
        <v>207</v>
      </c>
      <c r="H50" t="s">
        <v>208</v>
      </c>
      <c r="J50">
        <v>10566</v>
      </c>
      <c r="L50" t="s">
        <v>180</v>
      </c>
      <c r="M50" t="s">
        <v>24</v>
      </c>
      <c r="N50" t="s">
        <v>25</v>
      </c>
    </row>
    <row r="51" spans="1:14">
      <c r="A51" t="s">
        <v>209</v>
      </c>
      <c r="B51" t="s">
        <v>210</v>
      </c>
      <c r="C51" t="s">
        <v>211</v>
      </c>
      <c r="D51" t="s">
        <v>19</v>
      </c>
      <c r="E51" t="s">
        <v>20</v>
      </c>
      <c r="F51" t="s">
        <v>212</v>
      </c>
      <c r="H51" t="s">
        <v>189</v>
      </c>
      <c r="J51">
        <v>9059</v>
      </c>
      <c r="L51" t="s">
        <v>180</v>
      </c>
      <c r="M51" t="s">
        <v>24</v>
      </c>
      <c r="N51" t="s">
        <v>25</v>
      </c>
    </row>
    <row r="52" spans="1:14">
      <c r="A52" t="s">
        <v>213</v>
      </c>
      <c r="B52" t="s">
        <v>214</v>
      </c>
      <c r="C52" t="s">
        <v>215</v>
      </c>
      <c r="D52" t="s">
        <v>44</v>
      </c>
      <c r="E52" t="s">
        <v>20</v>
      </c>
      <c r="F52" t="s">
        <v>216</v>
      </c>
      <c r="H52" t="s">
        <v>217</v>
      </c>
      <c r="J52">
        <v>10523</v>
      </c>
      <c r="L52" t="s">
        <v>180</v>
      </c>
      <c r="M52" t="s">
        <v>24</v>
      </c>
      <c r="N52" t="s">
        <v>25</v>
      </c>
    </row>
    <row r="53" spans="1:14">
      <c r="A53" t="s">
        <v>213</v>
      </c>
      <c r="B53" t="s">
        <v>214</v>
      </c>
      <c r="C53" t="s">
        <v>218</v>
      </c>
      <c r="D53" t="s">
        <v>19</v>
      </c>
      <c r="E53" t="s">
        <v>20</v>
      </c>
      <c r="F53" t="s">
        <v>216</v>
      </c>
      <c r="H53" t="s">
        <v>219</v>
      </c>
      <c r="J53">
        <v>10521</v>
      </c>
      <c r="L53" t="s">
        <v>180</v>
      </c>
      <c r="M53" t="s">
        <v>24</v>
      </c>
      <c r="N53" t="s">
        <v>25</v>
      </c>
    </row>
    <row r="54" spans="1:14">
      <c r="A54" t="s">
        <v>220</v>
      </c>
      <c r="B54" t="s">
        <v>221</v>
      </c>
      <c r="C54" t="s">
        <v>222</v>
      </c>
      <c r="D54" t="s">
        <v>19</v>
      </c>
      <c r="E54" t="s">
        <v>20</v>
      </c>
      <c r="F54" t="s">
        <v>223</v>
      </c>
      <c r="H54" t="s">
        <v>22</v>
      </c>
      <c r="J54">
        <v>9770</v>
      </c>
      <c r="L54" t="s">
        <v>180</v>
      </c>
      <c r="M54" t="s">
        <v>24</v>
      </c>
      <c r="N54" t="s">
        <v>25</v>
      </c>
    </row>
    <row r="55" spans="1:14">
      <c r="A55" t="s">
        <v>224</v>
      </c>
      <c r="B55" t="s">
        <v>148</v>
      </c>
      <c r="C55" t="s">
        <v>149</v>
      </c>
      <c r="D55" t="s">
        <v>19</v>
      </c>
      <c r="E55" t="s">
        <v>20</v>
      </c>
      <c r="F55" t="s">
        <v>225</v>
      </c>
      <c r="H55" t="s">
        <v>226</v>
      </c>
      <c r="J55">
        <v>15418</v>
      </c>
      <c r="L55" t="s">
        <v>180</v>
      </c>
      <c r="M55" t="s">
        <v>24</v>
      </c>
      <c r="N55" t="s">
        <v>49</v>
      </c>
    </row>
    <row r="56" spans="1:14">
      <c r="A56" t="s">
        <v>224</v>
      </c>
      <c r="B56" t="s">
        <v>148</v>
      </c>
      <c r="C56" t="s">
        <v>149</v>
      </c>
      <c r="D56" t="s">
        <v>19</v>
      </c>
      <c r="E56" t="s">
        <v>20</v>
      </c>
      <c r="F56" t="s">
        <v>225</v>
      </c>
      <c r="H56" t="s">
        <v>226</v>
      </c>
      <c r="J56">
        <v>15418</v>
      </c>
      <c r="L56" t="s">
        <v>180</v>
      </c>
      <c r="M56" t="s">
        <v>24</v>
      </c>
      <c r="N56" t="s">
        <v>421</v>
      </c>
    </row>
    <row r="57" spans="1:14">
      <c r="A57" t="s">
        <v>227</v>
      </c>
      <c r="B57" t="s">
        <v>158</v>
      </c>
      <c r="C57" t="s">
        <v>159</v>
      </c>
      <c r="D57" t="s">
        <v>19</v>
      </c>
      <c r="E57" t="s">
        <v>20</v>
      </c>
      <c r="F57" t="s">
        <v>228</v>
      </c>
      <c r="H57" t="s">
        <v>229</v>
      </c>
      <c r="J57">
        <v>12829</v>
      </c>
      <c r="L57" t="s">
        <v>180</v>
      </c>
      <c r="M57" t="s">
        <v>24</v>
      </c>
    </row>
    <row r="58" spans="1:14">
      <c r="A58" t="s">
        <v>230</v>
      </c>
      <c r="B58" t="s">
        <v>231</v>
      </c>
      <c r="C58" t="s">
        <v>232</v>
      </c>
      <c r="D58" t="s">
        <v>127</v>
      </c>
      <c r="E58" t="s">
        <v>127</v>
      </c>
      <c r="F58" t="s">
        <v>233</v>
      </c>
      <c r="H58" t="s">
        <v>234</v>
      </c>
      <c r="J58">
        <v>23253</v>
      </c>
      <c r="L58" t="s">
        <v>180</v>
      </c>
      <c r="M58" t="s">
        <v>24</v>
      </c>
    </row>
    <row r="59" spans="1:14">
      <c r="A59" t="s">
        <v>235</v>
      </c>
      <c r="B59" t="s">
        <v>236</v>
      </c>
      <c r="C59" t="s">
        <v>237</v>
      </c>
      <c r="D59" t="s">
        <v>19</v>
      </c>
      <c r="E59" t="s">
        <v>20</v>
      </c>
      <c r="F59" t="s">
        <v>238</v>
      </c>
      <c r="H59" t="s">
        <v>239</v>
      </c>
      <c r="J59">
        <v>13567</v>
      </c>
      <c r="L59" t="s">
        <v>180</v>
      </c>
      <c r="M59" t="s">
        <v>24</v>
      </c>
      <c r="N59" t="s">
        <v>49</v>
      </c>
    </row>
    <row r="60" spans="1:14">
      <c r="A60" t="s">
        <v>240</v>
      </c>
      <c r="B60" t="s">
        <v>241</v>
      </c>
      <c r="C60" t="s">
        <v>242</v>
      </c>
      <c r="D60" t="s">
        <v>19</v>
      </c>
      <c r="E60" t="s">
        <v>20</v>
      </c>
      <c r="F60" t="s">
        <v>243</v>
      </c>
      <c r="H60" t="s">
        <v>244</v>
      </c>
      <c r="J60">
        <v>11807</v>
      </c>
      <c r="L60" t="s">
        <v>180</v>
      </c>
      <c r="M60" t="s">
        <v>24</v>
      </c>
    </row>
    <row r="61" spans="1:14">
      <c r="A61" t="s">
        <v>245</v>
      </c>
      <c r="B61" t="s">
        <v>246</v>
      </c>
      <c r="C61" t="s">
        <v>247</v>
      </c>
      <c r="D61" t="s">
        <v>19</v>
      </c>
      <c r="E61" t="s">
        <v>20</v>
      </c>
      <c r="F61" t="s">
        <v>248</v>
      </c>
      <c r="H61" t="s">
        <v>249</v>
      </c>
      <c r="J61">
        <v>14568</v>
      </c>
      <c r="L61" t="s">
        <v>180</v>
      </c>
      <c r="M61" t="s">
        <v>24</v>
      </c>
    </row>
    <row r="62" spans="1:14">
      <c r="A62" t="s">
        <v>184</v>
      </c>
      <c r="B62" t="s">
        <v>185</v>
      </c>
      <c r="C62" t="s">
        <v>186</v>
      </c>
      <c r="D62" t="s">
        <v>19</v>
      </c>
      <c r="E62" t="s">
        <v>20</v>
      </c>
      <c r="F62" t="s">
        <v>184</v>
      </c>
      <c r="H62" t="s">
        <v>250</v>
      </c>
      <c r="K62" t="s">
        <v>251</v>
      </c>
      <c r="L62" t="s">
        <v>252</v>
      </c>
      <c r="M62" t="s">
        <v>24</v>
      </c>
      <c r="N62" t="s">
        <v>49</v>
      </c>
    </row>
    <row r="63" spans="1:14">
      <c r="A63" t="s">
        <v>184</v>
      </c>
      <c r="B63" t="s">
        <v>185</v>
      </c>
      <c r="C63" t="s">
        <v>186</v>
      </c>
      <c r="D63" t="s">
        <v>19</v>
      </c>
      <c r="E63" t="s">
        <v>20</v>
      </c>
      <c r="F63" t="s">
        <v>184</v>
      </c>
      <c r="H63" t="s">
        <v>250</v>
      </c>
      <c r="K63" t="s">
        <v>251</v>
      </c>
      <c r="L63" t="s">
        <v>252</v>
      </c>
      <c r="M63" t="s">
        <v>24</v>
      </c>
      <c r="N63" t="s">
        <v>421</v>
      </c>
    </row>
    <row r="64" spans="1:14">
      <c r="A64" t="s">
        <v>253</v>
      </c>
      <c r="B64" t="s">
        <v>214</v>
      </c>
      <c r="C64" t="s">
        <v>254</v>
      </c>
      <c r="D64" t="s">
        <v>127</v>
      </c>
      <c r="E64" t="s">
        <v>127</v>
      </c>
      <c r="F64" t="s">
        <v>253</v>
      </c>
      <c r="H64" t="s">
        <v>127</v>
      </c>
      <c r="K64">
        <v>1680</v>
      </c>
      <c r="L64" t="s">
        <v>252</v>
      </c>
      <c r="M64" t="s">
        <v>24</v>
      </c>
    </row>
    <row r="65" spans="1:14">
      <c r="A65" t="s">
        <v>255</v>
      </c>
      <c r="B65" t="s">
        <v>256</v>
      </c>
      <c r="C65" t="s">
        <v>257</v>
      </c>
      <c r="D65" t="s">
        <v>79</v>
      </c>
      <c r="E65" t="s">
        <v>20</v>
      </c>
      <c r="F65" t="s">
        <v>258</v>
      </c>
      <c r="H65" t="s">
        <v>259</v>
      </c>
      <c r="K65" t="s">
        <v>260</v>
      </c>
      <c r="L65" t="s">
        <v>252</v>
      </c>
      <c r="M65" t="s">
        <v>24</v>
      </c>
    </row>
    <row r="66" spans="1:14">
      <c r="A66" t="s">
        <v>261</v>
      </c>
      <c r="B66" t="s">
        <v>262</v>
      </c>
      <c r="C66" t="s">
        <v>263</v>
      </c>
      <c r="D66" t="s">
        <v>19</v>
      </c>
      <c r="E66" t="s">
        <v>20</v>
      </c>
      <c r="F66" t="s">
        <v>261</v>
      </c>
      <c r="H66" t="s">
        <v>189</v>
      </c>
      <c r="K66" t="s">
        <v>264</v>
      </c>
      <c r="L66" t="s">
        <v>252</v>
      </c>
      <c r="M66" t="s">
        <v>24</v>
      </c>
    </row>
    <row r="67" spans="1:14">
      <c r="A67" t="s">
        <v>265</v>
      </c>
      <c r="B67" t="s">
        <v>266</v>
      </c>
      <c r="C67" t="s">
        <v>267</v>
      </c>
      <c r="D67" t="s">
        <v>19</v>
      </c>
      <c r="E67" t="s">
        <v>20</v>
      </c>
      <c r="F67" t="s">
        <v>268</v>
      </c>
      <c r="H67" t="s">
        <v>269</v>
      </c>
      <c r="K67">
        <v>2207</v>
      </c>
      <c r="L67" t="s">
        <v>252</v>
      </c>
      <c r="M67" t="s">
        <v>24</v>
      </c>
      <c r="N67" t="s">
        <v>49</v>
      </c>
    </row>
    <row r="68" spans="1:14">
      <c r="A68" t="s">
        <v>270</v>
      </c>
      <c r="B68" t="s">
        <v>271</v>
      </c>
      <c r="C68" s="3" t="s">
        <v>272</v>
      </c>
      <c r="D68" t="s">
        <v>79</v>
      </c>
      <c r="E68" t="s">
        <v>20</v>
      </c>
      <c r="F68" t="s">
        <v>273</v>
      </c>
      <c r="H68" t="s">
        <v>259</v>
      </c>
      <c r="K68">
        <v>1915</v>
      </c>
      <c r="L68" t="s">
        <v>252</v>
      </c>
      <c r="M68" t="s">
        <v>24</v>
      </c>
      <c r="N68" t="s">
        <v>25</v>
      </c>
    </row>
    <row r="69" spans="1:14">
      <c r="A69" t="s">
        <v>274</v>
      </c>
      <c r="B69" t="s">
        <v>275</v>
      </c>
      <c r="C69" t="s">
        <v>276</v>
      </c>
      <c r="D69" t="s">
        <v>44</v>
      </c>
      <c r="E69" t="s">
        <v>20</v>
      </c>
      <c r="F69" t="s">
        <v>277</v>
      </c>
      <c r="H69" t="s">
        <v>278</v>
      </c>
      <c r="K69">
        <v>1926</v>
      </c>
      <c r="L69" t="s">
        <v>252</v>
      </c>
      <c r="M69" t="s">
        <v>24</v>
      </c>
      <c r="N69" t="s">
        <v>25</v>
      </c>
    </row>
    <row r="70" spans="1:14">
      <c r="A70" t="s">
        <v>279</v>
      </c>
      <c r="B70" t="s">
        <v>280</v>
      </c>
      <c r="C70" t="s">
        <v>281</v>
      </c>
      <c r="D70" t="s">
        <v>79</v>
      </c>
      <c r="E70" t="s">
        <v>20</v>
      </c>
      <c r="F70" t="s">
        <v>282</v>
      </c>
      <c r="H70" t="s">
        <v>82</v>
      </c>
      <c r="K70" t="s">
        <v>283</v>
      </c>
      <c r="L70" t="s">
        <v>252</v>
      </c>
      <c r="M70" t="s">
        <v>24</v>
      </c>
      <c r="N70" t="s">
        <v>25</v>
      </c>
    </row>
    <row r="71" spans="1:14">
      <c r="A71" t="s">
        <v>284</v>
      </c>
      <c r="B71" t="s">
        <v>285</v>
      </c>
      <c r="C71" t="s">
        <v>286</v>
      </c>
      <c r="D71" t="s">
        <v>127</v>
      </c>
      <c r="E71" t="s">
        <v>127</v>
      </c>
      <c r="F71" t="s">
        <v>284</v>
      </c>
      <c r="H71" t="s">
        <v>127</v>
      </c>
      <c r="K71">
        <v>1766</v>
      </c>
      <c r="L71" t="s">
        <v>252</v>
      </c>
      <c r="M71" t="s">
        <v>24</v>
      </c>
      <c r="N71" t="s">
        <v>25</v>
      </c>
    </row>
    <row r="72" spans="1:14">
      <c r="A72" t="s">
        <v>287</v>
      </c>
      <c r="B72" t="s">
        <v>288</v>
      </c>
      <c r="C72" t="s">
        <v>289</v>
      </c>
      <c r="D72" t="s">
        <v>127</v>
      </c>
      <c r="E72" t="s">
        <v>127</v>
      </c>
      <c r="F72" t="s">
        <v>290</v>
      </c>
      <c r="H72" t="s">
        <v>127</v>
      </c>
      <c r="K72">
        <v>1687</v>
      </c>
      <c r="L72" t="s">
        <v>252</v>
      </c>
      <c r="M72" t="s">
        <v>24</v>
      </c>
      <c r="N72" t="s">
        <v>25</v>
      </c>
    </row>
    <row r="73" spans="1:14">
      <c r="A73" t="s">
        <v>291</v>
      </c>
      <c r="B73" t="s">
        <v>292</v>
      </c>
      <c r="C73" t="s">
        <v>293</v>
      </c>
      <c r="D73" t="s">
        <v>19</v>
      </c>
      <c r="E73" t="s">
        <v>20</v>
      </c>
      <c r="F73" t="s">
        <v>291</v>
      </c>
      <c r="H73" t="s">
        <v>294</v>
      </c>
      <c r="K73" t="s">
        <v>295</v>
      </c>
      <c r="L73" t="s">
        <v>252</v>
      </c>
      <c r="M73" t="s">
        <v>24</v>
      </c>
      <c r="N73" t="s">
        <v>25</v>
      </c>
    </row>
    <row r="74" spans="1:14">
      <c r="A74" t="s">
        <v>296</v>
      </c>
      <c r="B74" t="s">
        <v>297</v>
      </c>
      <c r="C74" t="s">
        <v>298</v>
      </c>
      <c r="D74" t="s">
        <v>19</v>
      </c>
      <c r="E74" t="s">
        <v>20</v>
      </c>
      <c r="F74" t="s">
        <v>299</v>
      </c>
      <c r="H74" t="s">
        <v>300</v>
      </c>
      <c r="K74" t="s">
        <v>301</v>
      </c>
      <c r="L74" t="s">
        <v>252</v>
      </c>
      <c r="M74" t="s">
        <v>24</v>
      </c>
      <c r="N74" t="s">
        <v>25</v>
      </c>
    </row>
    <row r="75" spans="1:14">
      <c r="A75" t="s">
        <v>302</v>
      </c>
      <c r="B75" t="s">
        <v>100</v>
      </c>
      <c r="C75" t="s">
        <v>303</v>
      </c>
      <c r="D75" t="s">
        <v>79</v>
      </c>
      <c r="E75" t="s">
        <v>79</v>
      </c>
      <c r="F75" t="s">
        <v>304</v>
      </c>
      <c r="H75" t="s">
        <v>82</v>
      </c>
      <c r="K75" t="s">
        <v>305</v>
      </c>
      <c r="L75" t="s">
        <v>252</v>
      </c>
      <c r="M75" t="s">
        <v>24</v>
      </c>
      <c r="N75" t="s">
        <v>25</v>
      </c>
    </row>
    <row r="76" spans="1:14">
      <c r="A76" t="s">
        <v>306</v>
      </c>
      <c r="B76" t="s">
        <v>307</v>
      </c>
      <c r="C76" t="s">
        <v>308</v>
      </c>
      <c r="D76" t="s">
        <v>19</v>
      </c>
      <c r="E76" t="s">
        <v>20</v>
      </c>
      <c r="F76" t="s">
        <v>309</v>
      </c>
      <c r="H76" t="s">
        <v>310</v>
      </c>
      <c r="K76" t="s">
        <v>311</v>
      </c>
      <c r="L76" t="s">
        <v>252</v>
      </c>
      <c r="M76" t="s">
        <v>24</v>
      </c>
      <c r="N76" t="s">
        <v>25</v>
      </c>
    </row>
    <row r="77" spans="1:14">
      <c r="A77" t="s">
        <v>184</v>
      </c>
      <c r="B77" t="s">
        <v>185</v>
      </c>
      <c r="C77" t="s">
        <v>186</v>
      </c>
      <c r="D77" t="s">
        <v>19</v>
      </c>
      <c r="E77" t="s">
        <v>20</v>
      </c>
      <c r="F77" t="s">
        <v>185</v>
      </c>
      <c r="L77" t="s">
        <v>312</v>
      </c>
      <c r="M77" t="s">
        <v>24</v>
      </c>
      <c r="N77" t="s">
        <v>25</v>
      </c>
    </row>
    <row r="78" spans="1:14">
      <c r="A78" t="s">
        <v>313</v>
      </c>
      <c r="B78" t="s">
        <v>221</v>
      </c>
      <c r="C78" t="s">
        <v>314</v>
      </c>
      <c r="D78" t="s">
        <v>127</v>
      </c>
      <c r="E78" t="s">
        <v>127</v>
      </c>
      <c r="F78" t="s">
        <v>221</v>
      </c>
      <c r="L78" t="s">
        <v>312</v>
      </c>
      <c r="M78" t="s">
        <v>24</v>
      </c>
    </row>
    <row r="79" spans="1:14">
      <c r="A79" t="s">
        <v>315</v>
      </c>
      <c r="B79" t="s">
        <v>316</v>
      </c>
      <c r="C79" t="s">
        <v>317</v>
      </c>
      <c r="D79" t="s">
        <v>44</v>
      </c>
      <c r="E79" t="s">
        <v>20</v>
      </c>
      <c r="F79" t="s">
        <v>316</v>
      </c>
      <c r="L79" t="s">
        <v>312</v>
      </c>
      <c r="M79" t="s">
        <v>24</v>
      </c>
    </row>
    <row r="80" spans="1:14">
      <c r="A80" t="s">
        <v>318</v>
      </c>
      <c r="B80" t="s">
        <v>316</v>
      </c>
      <c r="C80" t="s">
        <v>319</v>
      </c>
      <c r="D80" t="s">
        <v>127</v>
      </c>
      <c r="E80" t="s">
        <v>127</v>
      </c>
      <c r="F80" t="s">
        <v>316</v>
      </c>
      <c r="L80" t="s">
        <v>312</v>
      </c>
      <c r="M80" t="s">
        <v>24</v>
      </c>
    </row>
    <row r="81" spans="1:16">
      <c r="A81" t="s">
        <v>320</v>
      </c>
      <c r="B81" t="s">
        <v>321</v>
      </c>
      <c r="C81" t="s">
        <v>322</v>
      </c>
      <c r="D81" t="s">
        <v>127</v>
      </c>
      <c r="E81" t="s">
        <v>127</v>
      </c>
      <c r="F81" t="s">
        <v>321</v>
      </c>
      <c r="L81" t="s">
        <v>312</v>
      </c>
      <c r="M81" t="s">
        <v>24</v>
      </c>
    </row>
    <row r="82" spans="1:16">
      <c r="A82" t="s">
        <v>324</v>
      </c>
      <c r="B82" t="s">
        <v>148</v>
      </c>
      <c r="C82" t="s">
        <v>325</v>
      </c>
      <c r="D82" t="s">
        <v>79</v>
      </c>
      <c r="E82" t="s">
        <v>20</v>
      </c>
      <c r="F82" t="s">
        <v>148</v>
      </c>
      <c r="L82" t="s">
        <v>312</v>
      </c>
      <c r="M82" t="s">
        <v>24</v>
      </c>
    </row>
    <row r="83" spans="1:16">
      <c r="A83" t="s">
        <v>326</v>
      </c>
      <c r="B83" t="s">
        <v>100</v>
      </c>
      <c r="C83" t="s">
        <v>101</v>
      </c>
      <c r="D83" t="s">
        <v>44</v>
      </c>
      <c r="E83" t="s">
        <v>20</v>
      </c>
      <c r="F83" t="s">
        <v>100</v>
      </c>
      <c r="L83" t="s">
        <v>312</v>
      </c>
      <c r="M83" t="s">
        <v>24</v>
      </c>
    </row>
    <row r="84" spans="1:16">
      <c r="A84" t="s">
        <v>199</v>
      </c>
      <c r="B84" t="s">
        <v>200</v>
      </c>
      <c r="C84" t="s">
        <v>201</v>
      </c>
      <c r="D84" t="s">
        <v>19</v>
      </c>
      <c r="E84" t="s">
        <v>20</v>
      </c>
      <c r="F84" t="s">
        <v>200</v>
      </c>
      <c r="L84" t="s">
        <v>312</v>
      </c>
      <c r="M84" t="s">
        <v>24</v>
      </c>
    </row>
    <row r="85" spans="1:16">
      <c r="A85" t="s">
        <v>327</v>
      </c>
      <c r="B85" t="s">
        <v>328</v>
      </c>
      <c r="C85" t="s">
        <v>329</v>
      </c>
      <c r="D85" t="s">
        <v>127</v>
      </c>
      <c r="E85" t="s">
        <v>127</v>
      </c>
      <c r="F85" t="s">
        <v>328</v>
      </c>
      <c r="L85" t="s">
        <v>312</v>
      </c>
      <c r="M85" t="s">
        <v>24</v>
      </c>
    </row>
    <row r="86" spans="1:16">
      <c r="A86" t="s">
        <v>330</v>
      </c>
      <c r="B86" t="s">
        <v>331</v>
      </c>
      <c r="C86" t="s">
        <v>332</v>
      </c>
      <c r="D86" t="s">
        <v>79</v>
      </c>
      <c r="E86" t="s">
        <v>20</v>
      </c>
      <c r="G86" t="s">
        <v>330</v>
      </c>
      <c r="L86" t="s">
        <v>334</v>
      </c>
      <c r="M86" t="s">
        <v>24</v>
      </c>
    </row>
    <row r="87" spans="1:16">
      <c r="A87" t="s">
        <v>335</v>
      </c>
      <c r="B87" t="s">
        <v>335</v>
      </c>
      <c r="C87" t="s">
        <v>336</v>
      </c>
      <c r="D87" t="s">
        <v>79</v>
      </c>
      <c r="E87" t="s">
        <v>20</v>
      </c>
      <c r="G87" t="s">
        <v>338</v>
      </c>
      <c r="L87" t="s">
        <v>334</v>
      </c>
      <c r="M87" t="s">
        <v>24</v>
      </c>
    </row>
    <row r="88" spans="1:16">
      <c r="A88" t="s">
        <v>339</v>
      </c>
      <c r="B88" t="s">
        <v>340</v>
      </c>
      <c r="C88" t="s">
        <v>341</v>
      </c>
      <c r="D88" t="s">
        <v>127</v>
      </c>
      <c r="E88" t="s">
        <v>127</v>
      </c>
      <c r="G88" t="s">
        <v>342</v>
      </c>
      <c r="L88" t="s">
        <v>334</v>
      </c>
      <c r="M88" t="s">
        <v>24</v>
      </c>
    </row>
    <row r="89" spans="1:16">
      <c r="A89" t="s">
        <v>343</v>
      </c>
      <c r="B89" t="s">
        <v>344</v>
      </c>
      <c r="C89" t="s">
        <v>345</v>
      </c>
      <c r="D89" t="s">
        <v>19</v>
      </c>
      <c r="E89" t="s">
        <v>20</v>
      </c>
      <c r="G89" t="s">
        <v>347</v>
      </c>
      <c r="L89" t="s">
        <v>334</v>
      </c>
      <c r="M89" t="s">
        <v>24</v>
      </c>
    </row>
    <row r="90" spans="1:16">
      <c r="A90" t="s">
        <v>348</v>
      </c>
      <c r="B90" t="s">
        <v>349</v>
      </c>
      <c r="C90" t="s">
        <v>350</v>
      </c>
      <c r="D90" t="s">
        <v>127</v>
      </c>
      <c r="E90" t="s">
        <v>127</v>
      </c>
      <c r="G90" t="s">
        <v>352</v>
      </c>
      <c r="L90" t="s">
        <v>334</v>
      </c>
      <c r="M90" t="s">
        <v>24</v>
      </c>
    </row>
    <row r="91" spans="1:16">
      <c r="A91" t="s">
        <v>353</v>
      </c>
      <c r="B91" t="s">
        <v>241</v>
      </c>
      <c r="C91" t="s">
        <v>242</v>
      </c>
      <c r="D91" t="s">
        <v>19</v>
      </c>
      <c r="E91" t="s">
        <v>20</v>
      </c>
      <c r="G91" t="s">
        <v>355</v>
      </c>
      <c r="L91" t="s">
        <v>334</v>
      </c>
      <c r="M91" t="s">
        <v>24</v>
      </c>
    </row>
    <row r="92" spans="1:16" s="2" customFormat="1">
      <c r="A92" s="2" t="s">
        <v>356</v>
      </c>
      <c r="B92" s="2" t="s">
        <v>266</v>
      </c>
      <c r="C92" s="2" t="s">
        <v>357</v>
      </c>
      <c r="D92" s="2" t="s">
        <v>79</v>
      </c>
      <c r="E92" s="2" t="s">
        <v>20</v>
      </c>
      <c r="G92" s="2" t="s">
        <v>358</v>
      </c>
      <c r="L92" s="2" t="s">
        <v>334</v>
      </c>
      <c r="M92" s="2" t="s">
        <v>24</v>
      </c>
    </row>
    <row r="93" spans="1:16">
      <c r="A93" t="s">
        <v>359</v>
      </c>
      <c r="B93" t="s">
        <v>360</v>
      </c>
      <c r="C93" t="s">
        <v>361</v>
      </c>
      <c r="D93" t="s">
        <v>127</v>
      </c>
      <c r="E93" t="s">
        <v>127</v>
      </c>
      <c r="G93" t="s">
        <v>363</v>
      </c>
      <c r="L93" t="s">
        <v>334</v>
      </c>
      <c r="M93" t="s">
        <v>24</v>
      </c>
    </row>
    <row r="94" spans="1:16">
      <c r="A94" t="s">
        <v>364</v>
      </c>
      <c r="B94" t="s">
        <v>365</v>
      </c>
      <c r="C94" t="s">
        <v>366</v>
      </c>
      <c r="D94" t="s">
        <v>19</v>
      </c>
      <c r="E94" t="s">
        <v>20</v>
      </c>
      <c r="G94" t="s">
        <v>368</v>
      </c>
      <c r="L94" t="s">
        <v>334</v>
      </c>
      <c r="M94" t="s">
        <v>24</v>
      </c>
    </row>
    <row r="95" spans="1:16">
      <c r="A95" t="s">
        <v>37</v>
      </c>
      <c r="B95" t="s">
        <v>38</v>
      </c>
      <c r="C95" t="s">
        <v>369</v>
      </c>
      <c r="D95" t="s">
        <v>127</v>
      </c>
      <c r="E95" t="s">
        <v>127</v>
      </c>
      <c r="G95" t="s">
        <v>371</v>
      </c>
      <c r="L95" t="s">
        <v>372</v>
      </c>
      <c r="M95" t="s">
        <v>24</v>
      </c>
      <c r="O95">
        <v>483</v>
      </c>
      <c r="P95">
        <v>487</v>
      </c>
    </row>
    <row r="96" spans="1:16">
      <c r="A96" t="s">
        <v>373</v>
      </c>
      <c r="B96" t="s">
        <v>271</v>
      </c>
      <c r="C96" t="s">
        <v>374</v>
      </c>
      <c r="D96" t="s">
        <v>127</v>
      </c>
      <c r="E96" t="s">
        <v>127</v>
      </c>
      <c r="G96" t="s">
        <v>375</v>
      </c>
      <c r="L96" t="s">
        <v>372</v>
      </c>
      <c r="M96" t="s">
        <v>24</v>
      </c>
      <c r="O96">
        <v>483</v>
      </c>
      <c r="P96">
        <v>487</v>
      </c>
    </row>
    <row r="97" spans="1:16">
      <c r="A97" t="s">
        <v>376</v>
      </c>
      <c r="B97" t="s">
        <v>377</v>
      </c>
      <c r="C97" t="s">
        <v>378</v>
      </c>
      <c r="D97" t="s">
        <v>379</v>
      </c>
      <c r="E97" t="s">
        <v>379</v>
      </c>
      <c r="G97" t="s">
        <v>381</v>
      </c>
      <c r="L97" t="s">
        <v>372</v>
      </c>
      <c r="M97" t="s">
        <v>24</v>
      </c>
      <c r="O97">
        <v>483</v>
      </c>
      <c r="P97">
        <v>487</v>
      </c>
    </row>
    <row r="98" spans="1:16">
      <c r="A98" t="s">
        <v>382</v>
      </c>
      <c r="B98" t="s">
        <v>383</v>
      </c>
      <c r="C98" t="s">
        <v>384</v>
      </c>
      <c r="D98" t="s">
        <v>127</v>
      </c>
      <c r="E98" t="s">
        <v>127</v>
      </c>
      <c r="G98" t="s">
        <v>386</v>
      </c>
      <c r="L98" t="s">
        <v>372</v>
      </c>
      <c r="M98" t="s">
        <v>24</v>
      </c>
      <c r="O98">
        <v>483</v>
      </c>
      <c r="P98">
        <v>487</v>
      </c>
    </row>
    <row r="99" spans="1:16">
      <c r="A99" t="s">
        <v>382</v>
      </c>
      <c r="B99" t="s">
        <v>383</v>
      </c>
      <c r="C99" t="s">
        <v>384</v>
      </c>
      <c r="D99" t="s">
        <v>127</v>
      </c>
      <c r="E99" t="s">
        <v>127</v>
      </c>
      <c r="G99" t="s">
        <v>387</v>
      </c>
      <c r="L99" t="s">
        <v>372</v>
      </c>
      <c r="M99" t="s">
        <v>24</v>
      </c>
      <c r="O99">
        <v>483</v>
      </c>
      <c r="P99">
        <v>487</v>
      </c>
    </row>
    <row r="100" spans="1:16">
      <c r="A100" t="s">
        <v>388</v>
      </c>
      <c r="B100" t="s">
        <v>389</v>
      </c>
      <c r="C100" t="s">
        <v>390</v>
      </c>
      <c r="D100" t="s">
        <v>127</v>
      </c>
      <c r="E100" t="s">
        <v>127</v>
      </c>
      <c r="G100" t="s">
        <v>392</v>
      </c>
      <c r="L100" t="s">
        <v>372</v>
      </c>
      <c r="M100" t="s">
        <v>24</v>
      </c>
      <c r="O100">
        <v>483</v>
      </c>
      <c r="P100">
        <v>487</v>
      </c>
    </row>
    <row r="101" spans="1:16">
      <c r="A101" t="s">
        <v>348</v>
      </c>
      <c r="B101" t="s">
        <v>349</v>
      </c>
      <c r="C101" t="s">
        <v>350</v>
      </c>
      <c r="D101" t="s">
        <v>127</v>
      </c>
      <c r="E101" t="s">
        <v>127</v>
      </c>
      <c r="G101" t="s">
        <v>352</v>
      </c>
      <c r="L101" t="s">
        <v>372</v>
      </c>
      <c r="M101" t="s">
        <v>24</v>
      </c>
      <c r="O101">
        <v>483</v>
      </c>
      <c r="P101">
        <v>487</v>
      </c>
    </row>
    <row r="102" spans="1:16">
      <c r="A102" t="s">
        <v>393</v>
      </c>
      <c r="B102" t="s">
        <v>344</v>
      </c>
      <c r="C102" t="s">
        <v>394</v>
      </c>
      <c r="D102" t="s">
        <v>127</v>
      </c>
      <c r="E102" t="s">
        <v>127</v>
      </c>
      <c r="G102" t="s">
        <v>395</v>
      </c>
      <c r="L102" t="s">
        <v>372</v>
      </c>
      <c r="M102" t="s">
        <v>24</v>
      </c>
      <c r="O102">
        <v>483</v>
      </c>
      <c r="P102">
        <v>487</v>
      </c>
    </row>
    <row r="103" spans="1:16">
      <c r="A103" t="s">
        <v>396</v>
      </c>
      <c r="B103" t="s">
        <v>397</v>
      </c>
      <c r="C103" t="s">
        <v>398</v>
      </c>
      <c r="D103" t="s">
        <v>127</v>
      </c>
      <c r="E103" t="s">
        <v>127</v>
      </c>
      <c r="G103" t="s">
        <v>400</v>
      </c>
      <c r="L103" t="s">
        <v>372</v>
      </c>
      <c r="M103" t="s">
        <v>24</v>
      </c>
      <c r="O103">
        <v>483</v>
      </c>
      <c r="P103">
        <v>487</v>
      </c>
    </row>
    <row r="104" spans="1:16">
      <c r="A104" t="s">
        <v>401</v>
      </c>
      <c r="B104" t="s">
        <v>397</v>
      </c>
      <c r="C104" t="s">
        <v>402</v>
      </c>
      <c r="D104" t="s">
        <v>379</v>
      </c>
      <c r="E104" t="s">
        <v>379</v>
      </c>
      <c r="G104" t="s">
        <v>403</v>
      </c>
      <c r="L104" t="s">
        <v>372</v>
      </c>
      <c r="M104" t="s">
        <v>24</v>
      </c>
      <c r="O104">
        <v>483</v>
      </c>
      <c r="P104">
        <v>487</v>
      </c>
    </row>
    <row r="105" spans="1:16">
      <c r="A105" t="s">
        <v>404</v>
      </c>
      <c r="B105" t="s">
        <v>405</v>
      </c>
      <c r="C105" t="s">
        <v>406</v>
      </c>
      <c r="D105" t="s">
        <v>127</v>
      </c>
      <c r="E105" t="s">
        <v>127</v>
      </c>
      <c r="G105" t="s">
        <v>404</v>
      </c>
      <c r="L105" t="s">
        <v>372</v>
      </c>
      <c r="M105" t="s">
        <v>24</v>
      </c>
      <c r="O105">
        <v>483</v>
      </c>
      <c r="P105">
        <v>487</v>
      </c>
    </row>
    <row r="106" spans="1:16">
      <c r="A106" t="s">
        <v>408</v>
      </c>
      <c r="B106" t="s">
        <v>405</v>
      </c>
      <c r="C106" t="s">
        <v>409</v>
      </c>
      <c r="D106" t="s">
        <v>379</v>
      </c>
      <c r="E106" t="s">
        <v>379</v>
      </c>
      <c r="G106" t="s">
        <v>408</v>
      </c>
      <c r="L106" t="s">
        <v>372</v>
      </c>
      <c r="M106" t="s">
        <v>24</v>
      </c>
      <c r="O106">
        <v>483</v>
      </c>
      <c r="P106">
        <v>487</v>
      </c>
    </row>
    <row r="107" spans="1:16">
      <c r="A107" t="s">
        <v>410</v>
      </c>
      <c r="B107" t="s">
        <v>595</v>
      </c>
      <c r="C107" t="s">
        <v>411</v>
      </c>
      <c r="D107" t="s">
        <v>127</v>
      </c>
      <c r="E107" t="s">
        <v>127</v>
      </c>
      <c r="G107" t="s">
        <v>412</v>
      </c>
      <c r="L107" t="s">
        <v>372</v>
      </c>
      <c r="M107" t="s">
        <v>24</v>
      </c>
      <c r="O107">
        <v>483</v>
      </c>
      <c r="P107">
        <v>487</v>
      </c>
    </row>
    <row r="108" spans="1:16">
      <c r="A108" t="s">
        <v>413</v>
      </c>
      <c r="B108" t="s">
        <v>331</v>
      </c>
      <c r="C108" t="s">
        <v>414</v>
      </c>
      <c r="D108" t="s">
        <v>127</v>
      </c>
      <c r="E108" t="s">
        <v>127</v>
      </c>
      <c r="G108" t="s">
        <v>415</v>
      </c>
      <c r="L108" t="s">
        <v>372</v>
      </c>
      <c r="M108" t="s">
        <v>24</v>
      </c>
      <c r="O108">
        <v>483</v>
      </c>
      <c r="P108">
        <v>487</v>
      </c>
    </row>
  </sheetData>
  <mergeCells count="3">
    <mergeCell ref="A8:E8"/>
    <mergeCell ref="F8:L8"/>
    <mergeCell ref="Q8:Z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1BDD-9465-41B9-B810-85AF8A6E03CD}">
  <dimension ref="A1:Z108"/>
  <sheetViews>
    <sheetView topLeftCell="H92" workbookViewId="0">
      <selection activeCell="N6" sqref="N6"/>
    </sheetView>
  </sheetViews>
  <sheetFormatPr defaultRowHeight="15"/>
  <cols>
    <col min="1" max="1" width="15" customWidth="1"/>
    <col min="2" max="2" width="21.140625" customWidth="1"/>
    <col min="17" max="17" width="28.28515625" customWidth="1"/>
    <col min="18" max="18" width="26.7109375" customWidth="1"/>
    <col min="19" max="19" width="23.5703125" customWidth="1"/>
    <col min="20" max="20" width="5.5703125" customWidth="1"/>
    <col min="23" max="23" width="19.42578125" customWidth="1"/>
  </cols>
  <sheetData>
    <row r="1" spans="1:26" ht="52.5" customHeight="1">
      <c r="A1" s="18" t="s">
        <v>423</v>
      </c>
      <c r="B1" s="17" t="s">
        <v>602</v>
      </c>
    </row>
    <row r="2" spans="1:26">
      <c r="A2" t="s">
        <v>425</v>
      </c>
    </row>
    <row r="3" spans="1:26">
      <c r="A3" t="s">
        <v>416</v>
      </c>
      <c r="B3" t="s">
        <v>603</v>
      </c>
    </row>
    <row r="4" spans="1:26">
      <c r="A4" t="s">
        <v>427</v>
      </c>
    </row>
    <row r="5" spans="1:26">
      <c r="A5" t="s">
        <v>604</v>
      </c>
    </row>
    <row r="8" spans="1:26">
      <c r="A8" s="46" t="s">
        <v>429</v>
      </c>
      <c r="B8" s="46"/>
      <c r="C8" s="46"/>
      <c r="D8" s="46"/>
      <c r="E8" s="46"/>
      <c r="F8" s="47" t="s">
        <v>430</v>
      </c>
      <c r="G8" s="47"/>
      <c r="H8" s="47"/>
      <c r="I8" s="47"/>
      <c r="J8" s="47"/>
      <c r="K8" s="47"/>
      <c r="L8" s="47"/>
      <c r="Q8" s="48" t="s">
        <v>431</v>
      </c>
      <c r="R8" s="48"/>
      <c r="S8" s="48"/>
      <c r="T8" s="48"/>
      <c r="U8" s="48"/>
      <c r="V8" s="48"/>
      <c r="W8" s="48"/>
      <c r="X8" s="48"/>
      <c r="Y8" s="48"/>
      <c r="Z8" s="48"/>
    </row>
    <row r="9" spans="1:26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432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433</v>
      </c>
      <c r="R9" s="1" t="s">
        <v>434</v>
      </c>
      <c r="S9" s="1" t="s">
        <v>435</v>
      </c>
      <c r="T9" s="1" t="s">
        <v>605</v>
      </c>
      <c r="U9" s="1" t="s">
        <v>606</v>
      </c>
      <c r="V9" s="1" t="s">
        <v>607</v>
      </c>
      <c r="W9" s="1" t="s">
        <v>608</v>
      </c>
      <c r="X9" s="1"/>
      <c r="Y9" s="1"/>
      <c r="Z9" s="1"/>
    </row>
    <row r="10" spans="1:2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16</v>
      </c>
      <c r="G10" t="s">
        <v>21</v>
      </c>
      <c r="H10" t="s">
        <v>22</v>
      </c>
      <c r="L10" t="s">
        <v>23</v>
      </c>
      <c r="M10" t="s">
        <v>24</v>
      </c>
      <c r="N10" t="s">
        <v>25</v>
      </c>
      <c r="Q10" s="8" t="s">
        <v>21</v>
      </c>
      <c r="R10" s="9" t="s">
        <v>18</v>
      </c>
      <c r="S10" s="10" t="s">
        <v>177</v>
      </c>
      <c r="T10" s="4">
        <v>3</v>
      </c>
      <c r="U10" s="8">
        <v>1.0488999999999999</v>
      </c>
      <c r="V10" s="10">
        <v>227.6191</v>
      </c>
      <c r="W10" s="4" t="s">
        <v>609</v>
      </c>
    </row>
    <row r="11" spans="1:26">
      <c r="A11" t="s">
        <v>26</v>
      </c>
      <c r="B11" t="s">
        <v>27</v>
      </c>
      <c r="C11" t="s">
        <v>28</v>
      </c>
      <c r="D11" t="s">
        <v>19</v>
      </c>
      <c r="E11" t="s">
        <v>20</v>
      </c>
      <c r="F11" t="s">
        <v>29</v>
      </c>
      <c r="G11" t="s">
        <v>30</v>
      </c>
      <c r="L11" t="s">
        <v>23</v>
      </c>
      <c r="M11" t="s">
        <v>24</v>
      </c>
      <c r="N11" t="s">
        <v>25</v>
      </c>
      <c r="Q11" s="11" t="s">
        <v>30</v>
      </c>
      <c r="R11" s="12" t="s">
        <v>28</v>
      </c>
      <c r="S11" s="13" t="s">
        <v>28</v>
      </c>
      <c r="T11" s="5">
        <v>1</v>
      </c>
      <c r="U11" s="11">
        <v>0.87060000000000004</v>
      </c>
      <c r="V11" s="13">
        <v>261.66609999999997</v>
      </c>
      <c r="W11" s="5" t="s">
        <v>610</v>
      </c>
    </row>
    <row r="12" spans="1:26">
      <c r="A12" t="s">
        <v>32</v>
      </c>
      <c r="B12" t="s">
        <v>33</v>
      </c>
      <c r="C12" t="s">
        <v>34</v>
      </c>
      <c r="D12" t="s">
        <v>19</v>
      </c>
      <c r="E12" t="s">
        <v>20</v>
      </c>
      <c r="F12" t="s">
        <v>32</v>
      </c>
      <c r="G12" t="s">
        <v>35</v>
      </c>
      <c r="H12" t="s">
        <v>22</v>
      </c>
      <c r="I12" t="s">
        <v>36</v>
      </c>
      <c r="L12" t="s">
        <v>23</v>
      </c>
      <c r="M12" t="s">
        <v>24</v>
      </c>
      <c r="N12" t="s">
        <v>25</v>
      </c>
      <c r="Q12" s="11" t="s">
        <v>35</v>
      </c>
      <c r="R12" s="12" t="s">
        <v>34</v>
      </c>
      <c r="S12" s="13" t="s">
        <v>34</v>
      </c>
      <c r="T12" s="5">
        <v>1</v>
      </c>
      <c r="U12" s="11">
        <v>1.0899000000000001</v>
      </c>
      <c r="V12" s="13">
        <v>296.17250000000001</v>
      </c>
      <c r="W12" s="5" t="s">
        <v>611</v>
      </c>
    </row>
    <row r="13" spans="1:26">
      <c r="A13" t="s">
        <v>37</v>
      </c>
      <c r="B13" t="s">
        <v>38</v>
      </c>
      <c r="C13" t="s">
        <v>39</v>
      </c>
      <c r="D13" t="s">
        <v>19</v>
      </c>
      <c r="E13" t="s">
        <v>20</v>
      </c>
      <c r="F13" t="s">
        <v>37</v>
      </c>
      <c r="G13" t="s">
        <v>40</v>
      </c>
      <c r="H13" t="s">
        <v>22</v>
      </c>
      <c r="L13" t="s">
        <v>23</v>
      </c>
      <c r="M13" t="s">
        <v>24</v>
      </c>
      <c r="N13" t="s">
        <v>25</v>
      </c>
      <c r="Q13" s="11" t="s">
        <v>446</v>
      </c>
      <c r="R13" s="12" t="s">
        <v>39</v>
      </c>
      <c r="S13" s="13" t="s">
        <v>39</v>
      </c>
      <c r="T13" s="5">
        <v>1</v>
      </c>
      <c r="U13" s="11">
        <v>1.1765000000000001</v>
      </c>
      <c r="V13" s="13">
        <v>516.05909999999994</v>
      </c>
      <c r="W13" s="5" t="s">
        <v>612</v>
      </c>
    </row>
    <row r="14" spans="1:26">
      <c r="A14" t="s">
        <v>41</v>
      </c>
      <c r="B14" t="s">
        <v>42</v>
      </c>
      <c r="C14" t="s">
        <v>43</v>
      </c>
      <c r="D14" t="s">
        <v>44</v>
      </c>
      <c r="E14" t="s">
        <v>20</v>
      </c>
      <c r="F14" t="s">
        <v>45</v>
      </c>
      <c r="G14" t="s">
        <v>46</v>
      </c>
      <c r="H14" t="s">
        <v>47</v>
      </c>
      <c r="I14" t="s">
        <v>48</v>
      </c>
      <c r="L14" t="s">
        <v>23</v>
      </c>
      <c r="M14" t="s">
        <v>24</v>
      </c>
      <c r="N14" t="s">
        <v>25</v>
      </c>
      <c r="Q14" s="11" t="s">
        <v>46</v>
      </c>
      <c r="R14" s="12" t="s">
        <v>43</v>
      </c>
      <c r="S14" s="13" t="s">
        <v>43</v>
      </c>
      <c r="T14" s="5">
        <v>1</v>
      </c>
      <c r="U14" s="11">
        <v>1.1091</v>
      </c>
      <c r="V14" s="13">
        <v>176.15729999999999</v>
      </c>
      <c r="W14" s="5" t="s">
        <v>613</v>
      </c>
    </row>
    <row r="15" spans="1:26">
      <c r="A15" t="s">
        <v>41</v>
      </c>
      <c r="B15" t="s">
        <v>42</v>
      </c>
      <c r="C15" t="s">
        <v>50</v>
      </c>
      <c r="D15" t="s">
        <v>19</v>
      </c>
      <c r="E15" t="s">
        <v>20</v>
      </c>
      <c r="F15" t="s">
        <v>45</v>
      </c>
      <c r="G15" t="s">
        <v>51</v>
      </c>
      <c r="H15" t="s">
        <v>22</v>
      </c>
      <c r="I15" t="s">
        <v>52</v>
      </c>
      <c r="L15" t="s">
        <v>23</v>
      </c>
      <c r="M15" t="s">
        <v>24</v>
      </c>
      <c r="N15" t="s">
        <v>25</v>
      </c>
      <c r="Q15" s="11" t="s">
        <v>51</v>
      </c>
      <c r="R15" s="12" t="s">
        <v>50</v>
      </c>
      <c r="S15" s="13" t="s">
        <v>50</v>
      </c>
      <c r="T15" s="5">
        <v>1</v>
      </c>
      <c r="U15" s="11">
        <v>1.0403</v>
      </c>
      <c r="V15" s="13">
        <v>215.38419999999999</v>
      </c>
      <c r="W15" s="5" t="s">
        <v>614</v>
      </c>
    </row>
    <row r="16" spans="1:26">
      <c r="A16" t="s">
        <v>53</v>
      </c>
      <c r="B16" t="s">
        <v>54</v>
      </c>
      <c r="C16" t="s">
        <v>55</v>
      </c>
      <c r="D16" t="s">
        <v>19</v>
      </c>
      <c r="E16" t="s">
        <v>20</v>
      </c>
      <c r="F16" t="s">
        <v>53</v>
      </c>
      <c r="G16" t="s">
        <v>56</v>
      </c>
      <c r="H16" t="s">
        <v>22</v>
      </c>
      <c r="I16" t="s">
        <v>57</v>
      </c>
      <c r="L16" t="s">
        <v>23</v>
      </c>
      <c r="M16" t="s">
        <v>24</v>
      </c>
      <c r="N16" t="s">
        <v>25</v>
      </c>
      <c r="Q16" s="11" t="s">
        <v>450</v>
      </c>
      <c r="R16" s="12" t="s">
        <v>55</v>
      </c>
      <c r="S16" s="13" t="s">
        <v>55</v>
      </c>
      <c r="T16" s="5">
        <v>1</v>
      </c>
      <c r="U16" s="11">
        <v>1.0072000000000001</v>
      </c>
      <c r="V16" s="13">
        <v>174.06059999999999</v>
      </c>
      <c r="W16" s="5" t="s">
        <v>451</v>
      </c>
    </row>
    <row r="17" spans="1:23">
      <c r="A17" t="s">
        <v>58</v>
      </c>
      <c r="B17" t="s">
        <v>59</v>
      </c>
      <c r="C17" t="s">
        <v>60</v>
      </c>
      <c r="D17" t="s">
        <v>44</v>
      </c>
      <c r="E17" t="s">
        <v>20</v>
      </c>
      <c r="F17" t="s">
        <v>61</v>
      </c>
      <c r="G17" t="s">
        <v>62</v>
      </c>
      <c r="H17" t="s">
        <v>47</v>
      </c>
      <c r="L17" t="s">
        <v>23</v>
      </c>
      <c r="M17" t="s">
        <v>24</v>
      </c>
      <c r="N17" t="s">
        <v>25</v>
      </c>
      <c r="Q17" s="11" t="s">
        <v>62</v>
      </c>
      <c r="R17" s="12" t="s">
        <v>60</v>
      </c>
      <c r="S17" s="13" t="s">
        <v>60</v>
      </c>
      <c r="T17" s="5">
        <v>1</v>
      </c>
      <c r="U17" s="11">
        <v>1.1920999999999999</v>
      </c>
      <c r="V17" s="13">
        <v>300.31970000000001</v>
      </c>
      <c r="W17" s="5" t="s">
        <v>615</v>
      </c>
    </row>
    <row r="18" spans="1:23">
      <c r="A18" t="s">
        <v>63</v>
      </c>
      <c r="B18" t="s">
        <v>64</v>
      </c>
      <c r="C18" t="s">
        <v>65</v>
      </c>
      <c r="D18" t="s">
        <v>19</v>
      </c>
      <c r="E18" t="s">
        <v>20</v>
      </c>
      <c r="F18" t="s">
        <v>66</v>
      </c>
      <c r="G18" t="s">
        <v>67</v>
      </c>
      <c r="H18" t="s">
        <v>22</v>
      </c>
      <c r="L18" t="s">
        <v>23</v>
      </c>
      <c r="M18" t="s">
        <v>24</v>
      </c>
      <c r="N18" t="s">
        <v>25</v>
      </c>
      <c r="Q18" s="11" t="s">
        <v>67</v>
      </c>
      <c r="R18" s="12" t="s">
        <v>65</v>
      </c>
      <c r="S18" s="13" t="s">
        <v>65</v>
      </c>
      <c r="T18" s="5">
        <v>1</v>
      </c>
      <c r="U18" s="11">
        <v>1.1537999999999999</v>
      </c>
      <c r="V18" s="13">
        <v>446.2441</v>
      </c>
      <c r="W18" s="5" t="s">
        <v>616</v>
      </c>
    </row>
    <row r="19" spans="1:23">
      <c r="A19" t="s">
        <v>68</v>
      </c>
      <c r="B19" t="s">
        <v>69</v>
      </c>
      <c r="C19" t="s">
        <v>70</v>
      </c>
      <c r="D19" t="s">
        <v>19</v>
      </c>
      <c r="E19" t="s">
        <v>20</v>
      </c>
      <c r="F19" t="s">
        <v>71</v>
      </c>
      <c r="G19" t="s">
        <v>72</v>
      </c>
      <c r="H19" t="s">
        <v>22</v>
      </c>
      <c r="I19" t="s">
        <v>73</v>
      </c>
      <c r="L19" t="s">
        <v>23</v>
      </c>
      <c r="M19" t="s">
        <v>24</v>
      </c>
      <c r="N19" t="s">
        <v>25</v>
      </c>
      <c r="Q19" s="11" t="s">
        <v>72</v>
      </c>
      <c r="R19" s="12" t="s">
        <v>70</v>
      </c>
      <c r="S19" s="13" t="s">
        <v>70</v>
      </c>
      <c r="T19" s="5">
        <v>1</v>
      </c>
      <c r="U19" s="11">
        <v>0.97319999999999995</v>
      </c>
      <c r="V19" s="13">
        <v>139.82640000000001</v>
      </c>
      <c r="W19" s="5" t="s">
        <v>617</v>
      </c>
    </row>
    <row r="20" spans="1:23">
      <c r="A20" t="s">
        <v>68</v>
      </c>
      <c r="B20" t="s">
        <v>69</v>
      </c>
      <c r="D20" t="s">
        <v>19</v>
      </c>
      <c r="E20" t="s">
        <v>20</v>
      </c>
      <c r="F20" t="s">
        <v>74</v>
      </c>
      <c r="G20" t="s">
        <v>75</v>
      </c>
      <c r="H20" t="s">
        <v>22</v>
      </c>
      <c r="I20" t="s">
        <v>73</v>
      </c>
      <c r="L20" t="s">
        <v>23</v>
      </c>
      <c r="M20" t="s">
        <v>24</v>
      </c>
      <c r="N20" t="s">
        <v>25</v>
      </c>
      <c r="Q20" s="11" t="s">
        <v>618</v>
      </c>
      <c r="R20" s="12" t="s">
        <v>619</v>
      </c>
      <c r="S20" s="13" t="s">
        <v>70</v>
      </c>
      <c r="T20" s="5" t="s">
        <v>620</v>
      </c>
      <c r="U20" s="11">
        <v>1.018</v>
      </c>
      <c r="V20" s="13">
        <v>186.55529999999999</v>
      </c>
      <c r="W20" s="5" t="s">
        <v>621</v>
      </c>
    </row>
    <row r="21" spans="1:23">
      <c r="A21" t="s">
        <v>76</v>
      </c>
      <c r="B21" t="s">
        <v>77</v>
      </c>
      <c r="C21" t="s">
        <v>78</v>
      </c>
      <c r="D21" t="s">
        <v>79</v>
      </c>
      <c r="E21" t="s">
        <v>20</v>
      </c>
      <c r="F21" t="s">
        <v>80</v>
      </c>
      <c r="G21" t="s">
        <v>81</v>
      </c>
      <c r="H21" t="s">
        <v>82</v>
      </c>
      <c r="L21" t="s">
        <v>23</v>
      </c>
      <c r="M21" t="s">
        <v>24</v>
      </c>
      <c r="N21" t="s">
        <v>25</v>
      </c>
      <c r="Q21" s="11" t="s">
        <v>81</v>
      </c>
      <c r="R21" s="12" t="s">
        <v>78</v>
      </c>
      <c r="S21" s="13" t="s">
        <v>78</v>
      </c>
      <c r="T21" s="5">
        <v>1</v>
      </c>
      <c r="U21" s="11">
        <v>1.0533999999999999</v>
      </c>
      <c r="V21" s="13">
        <v>234.23929999999999</v>
      </c>
      <c r="W21" s="5" t="s">
        <v>458</v>
      </c>
    </row>
    <row r="22" spans="1:23">
      <c r="A22" t="s">
        <v>83</v>
      </c>
      <c r="B22" t="s">
        <v>84</v>
      </c>
      <c r="C22" t="s">
        <v>85</v>
      </c>
      <c r="D22" t="s">
        <v>79</v>
      </c>
      <c r="E22" t="s">
        <v>20</v>
      </c>
      <c r="F22" t="s">
        <v>86</v>
      </c>
      <c r="G22" t="s">
        <v>87</v>
      </c>
      <c r="H22" t="s">
        <v>82</v>
      </c>
      <c r="L22" t="s">
        <v>23</v>
      </c>
      <c r="M22" t="s">
        <v>24</v>
      </c>
      <c r="N22" t="s">
        <v>25</v>
      </c>
      <c r="Q22" s="11" t="s">
        <v>87</v>
      </c>
      <c r="R22" s="12" t="s">
        <v>85</v>
      </c>
      <c r="S22" s="13" t="s">
        <v>85</v>
      </c>
      <c r="T22" s="5">
        <v>1</v>
      </c>
      <c r="U22" s="11">
        <v>0.89400000000000002</v>
      </c>
      <c r="V22" s="13">
        <v>83.851799999999997</v>
      </c>
      <c r="W22" s="5" t="s">
        <v>622</v>
      </c>
    </row>
    <row r="23" spans="1:23">
      <c r="A23" t="s">
        <v>88</v>
      </c>
      <c r="B23" t="s">
        <v>89</v>
      </c>
      <c r="C23" t="s">
        <v>90</v>
      </c>
      <c r="D23" t="s">
        <v>19</v>
      </c>
      <c r="E23" t="s">
        <v>20</v>
      </c>
      <c r="F23" t="s">
        <v>91</v>
      </c>
      <c r="G23" t="s">
        <v>92</v>
      </c>
      <c r="H23" t="s">
        <v>22</v>
      </c>
      <c r="I23" t="s">
        <v>93</v>
      </c>
      <c r="L23" t="s">
        <v>23</v>
      </c>
      <c r="M23" t="s">
        <v>24</v>
      </c>
      <c r="N23" t="s">
        <v>25</v>
      </c>
      <c r="Q23" s="11" t="s">
        <v>92</v>
      </c>
      <c r="R23" s="12" t="s">
        <v>90</v>
      </c>
      <c r="S23" s="13" t="s">
        <v>623</v>
      </c>
      <c r="T23" s="5">
        <v>2</v>
      </c>
      <c r="U23" s="11">
        <v>1.2</v>
      </c>
      <c r="V23" s="13">
        <v>675.78520000000003</v>
      </c>
      <c r="W23" s="5" t="s">
        <v>624</v>
      </c>
    </row>
    <row r="24" spans="1:23">
      <c r="A24" t="s">
        <v>94</v>
      </c>
      <c r="B24" t="s">
        <v>95</v>
      </c>
      <c r="C24" t="s">
        <v>96</v>
      </c>
      <c r="D24" t="s">
        <v>44</v>
      </c>
      <c r="E24" t="s">
        <v>20</v>
      </c>
      <c r="F24" t="s">
        <v>94</v>
      </c>
      <c r="G24" t="s">
        <v>97</v>
      </c>
      <c r="H24" t="s">
        <v>47</v>
      </c>
      <c r="I24" t="s">
        <v>98</v>
      </c>
      <c r="L24" t="s">
        <v>23</v>
      </c>
      <c r="M24" t="s">
        <v>24</v>
      </c>
      <c r="N24" t="s">
        <v>25</v>
      </c>
      <c r="Q24" s="11" t="s">
        <v>97</v>
      </c>
      <c r="R24" s="12" t="s">
        <v>96</v>
      </c>
      <c r="S24" s="13" t="s">
        <v>96</v>
      </c>
      <c r="T24" s="5">
        <v>1</v>
      </c>
      <c r="U24" s="11">
        <v>1.2092000000000001</v>
      </c>
      <c r="V24" s="13">
        <v>335.21080000000001</v>
      </c>
      <c r="W24" s="5" t="s">
        <v>625</v>
      </c>
    </row>
    <row r="25" spans="1:23">
      <c r="A25" t="s">
        <v>99</v>
      </c>
      <c r="B25" t="s">
        <v>100</v>
      </c>
      <c r="C25" t="s">
        <v>101</v>
      </c>
      <c r="D25" t="s">
        <v>44</v>
      </c>
      <c r="E25" t="s">
        <v>20</v>
      </c>
      <c r="F25" t="s">
        <v>102</v>
      </c>
      <c r="G25" t="s">
        <v>103</v>
      </c>
      <c r="H25" t="s">
        <v>47</v>
      </c>
      <c r="I25" t="s">
        <v>104</v>
      </c>
      <c r="L25" t="s">
        <v>23</v>
      </c>
      <c r="M25" t="s">
        <v>24</v>
      </c>
      <c r="N25" t="s">
        <v>25</v>
      </c>
      <c r="Q25" s="11" t="s">
        <v>103</v>
      </c>
      <c r="R25" s="12" t="s">
        <v>101</v>
      </c>
      <c r="S25" s="13" t="s">
        <v>101</v>
      </c>
      <c r="T25" s="5">
        <v>1</v>
      </c>
      <c r="U25" s="11">
        <v>1.1552</v>
      </c>
      <c r="V25" s="13">
        <v>237.01910000000001</v>
      </c>
      <c r="W25" s="5" t="s">
        <v>626</v>
      </c>
    </row>
    <row r="26" spans="1:23">
      <c r="A26" t="s">
        <v>105</v>
      </c>
      <c r="B26" t="s">
        <v>106</v>
      </c>
      <c r="C26" t="s">
        <v>107</v>
      </c>
      <c r="D26" t="s">
        <v>19</v>
      </c>
      <c r="E26" t="s">
        <v>20</v>
      </c>
      <c r="F26" t="s">
        <v>108</v>
      </c>
      <c r="G26" t="s">
        <v>109</v>
      </c>
      <c r="H26" t="s">
        <v>22</v>
      </c>
      <c r="I26" t="s">
        <v>110</v>
      </c>
      <c r="L26" t="s">
        <v>23</v>
      </c>
      <c r="M26" t="s">
        <v>24</v>
      </c>
      <c r="N26" t="s">
        <v>25</v>
      </c>
      <c r="Q26" s="11" t="s">
        <v>109</v>
      </c>
      <c r="R26" s="12" t="s">
        <v>107</v>
      </c>
      <c r="S26" s="13" t="s">
        <v>107</v>
      </c>
      <c r="T26" s="5">
        <v>1</v>
      </c>
      <c r="U26" s="11">
        <v>0.9526</v>
      </c>
      <c r="V26" s="13">
        <v>122.3974</v>
      </c>
      <c r="W26" s="5" t="s">
        <v>627</v>
      </c>
    </row>
    <row r="27" spans="1:23">
      <c r="A27" t="s">
        <v>111</v>
      </c>
      <c r="B27" t="s">
        <v>112</v>
      </c>
      <c r="C27" t="s">
        <v>113</v>
      </c>
      <c r="D27" t="s">
        <v>19</v>
      </c>
      <c r="E27" t="s">
        <v>20</v>
      </c>
      <c r="F27" t="s">
        <v>111</v>
      </c>
      <c r="G27" t="s">
        <v>114</v>
      </c>
      <c r="H27" t="s">
        <v>22</v>
      </c>
      <c r="L27" t="s">
        <v>23</v>
      </c>
      <c r="M27" t="s">
        <v>24</v>
      </c>
      <c r="N27" t="s">
        <v>25</v>
      </c>
      <c r="Q27" s="11" t="s">
        <v>114</v>
      </c>
      <c r="R27" s="12" t="s">
        <v>113</v>
      </c>
      <c r="S27" s="13" t="s">
        <v>113</v>
      </c>
      <c r="T27" s="5">
        <v>1</v>
      </c>
      <c r="U27" s="11">
        <v>0.98160000000000003</v>
      </c>
      <c r="V27" s="13">
        <v>147.57040000000001</v>
      </c>
      <c r="W27" s="5" t="s">
        <v>628</v>
      </c>
    </row>
    <row r="28" spans="1:23">
      <c r="A28" t="s">
        <v>115</v>
      </c>
      <c r="B28" t="s">
        <v>116</v>
      </c>
      <c r="C28" t="s">
        <v>117</v>
      </c>
      <c r="D28" t="s">
        <v>19</v>
      </c>
      <c r="E28" t="s">
        <v>20</v>
      </c>
      <c r="F28" t="s">
        <v>118</v>
      </c>
      <c r="G28" t="s">
        <v>119</v>
      </c>
      <c r="H28" t="s">
        <v>22</v>
      </c>
      <c r="I28" t="s">
        <v>120</v>
      </c>
      <c r="L28" t="s">
        <v>23</v>
      </c>
      <c r="M28" t="s">
        <v>24</v>
      </c>
      <c r="N28" t="s">
        <v>25</v>
      </c>
      <c r="Q28" s="11" t="s">
        <v>119</v>
      </c>
      <c r="R28" s="12" t="s">
        <v>117</v>
      </c>
      <c r="S28" s="13" t="s">
        <v>117</v>
      </c>
      <c r="T28" s="5">
        <v>1</v>
      </c>
      <c r="U28" s="11">
        <v>0.92390000000000005</v>
      </c>
      <c r="V28" s="13">
        <v>101.7101</v>
      </c>
      <c r="W28" s="5" t="s">
        <v>629</v>
      </c>
    </row>
    <row r="29" spans="1:23">
      <c r="A29" t="s">
        <v>115</v>
      </c>
      <c r="B29" t="s">
        <v>116</v>
      </c>
      <c r="C29" t="s">
        <v>117</v>
      </c>
      <c r="D29" t="s">
        <v>19</v>
      </c>
      <c r="E29" t="s">
        <v>20</v>
      </c>
      <c r="F29" t="s">
        <v>121</v>
      </c>
      <c r="G29" t="s">
        <v>122</v>
      </c>
      <c r="H29" t="s">
        <v>22</v>
      </c>
      <c r="I29" t="s">
        <v>123</v>
      </c>
      <c r="L29" t="s">
        <v>23</v>
      </c>
      <c r="M29" t="s">
        <v>24</v>
      </c>
      <c r="N29" t="s">
        <v>25</v>
      </c>
      <c r="Q29" s="11" t="s">
        <v>122</v>
      </c>
      <c r="R29" s="12" t="s">
        <v>117</v>
      </c>
      <c r="S29" s="13" t="s">
        <v>117</v>
      </c>
      <c r="T29" s="5">
        <v>1</v>
      </c>
      <c r="U29" s="11">
        <v>1.0612999999999999</v>
      </c>
      <c r="V29" s="13">
        <v>246.42349999999999</v>
      </c>
      <c r="W29" s="5" t="s">
        <v>630</v>
      </c>
    </row>
    <row r="30" spans="1:23">
      <c r="A30" t="s">
        <v>124</v>
      </c>
      <c r="B30" t="s">
        <v>125</v>
      </c>
      <c r="C30" t="s">
        <v>126</v>
      </c>
      <c r="D30" t="s">
        <v>127</v>
      </c>
      <c r="E30" t="s">
        <v>127</v>
      </c>
      <c r="F30" t="s">
        <v>128</v>
      </c>
      <c r="G30" t="s">
        <v>128</v>
      </c>
      <c r="L30" t="s">
        <v>23</v>
      </c>
      <c r="M30" t="s">
        <v>24</v>
      </c>
      <c r="N30" t="s">
        <v>25</v>
      </c>
      <c r="Q30" s="11" t="s">
        <v>128</v>
      </c>
      <c r="R30" s="12" t="s">
        <v>126</v>
      </c>
      <c r="S30" s="13" t="s">
        <v>468</v>
      </c>
      <c r="T30" s="5">
        <v>3</v>
      </c>
      <c r="U30" s="11">
        <v>0.78039999999999998</v>
      </c>
      <c r="V30" s="13">
        <v>146.48779999999999</v>
      </c>
      <c r="W30" s="5" t="s">
        <v>469</v>
      </c>
    </row>
    <row r="31" spans="1:23">
      <c r="A31" t="s">
        <v>129</v>
      </c>
      <c r="B31" t="s">
        <v>130</v>
      </c>
      <c r="C31" t="s">
        <v>131</v>
      </c>
      <c r="D31" t="s">
        <v>127</v>
      </c>
      <c r="E31" t="s">
        <v>127</v>
      </c>
      <c r="F31" t="s">
        <v>132</v>
      </c>
      <c r="G31" t="s">
        <v>133</v>
      </c>
      <c r="L31" t="s">
        <v>23</v>
      </c>
      <c r="M31" t="s">
        <v>24</v>
      </c>
      <c r="N31" t="s">
        <v>25</v>
      </c>
      <c r="Q31" s="11" t="s">
        <v>133</v>
      </c>
      <c r="R31" s="12" t="s">
        <v>131</v>
      </c>
      <c r="S31" s="13" t="s">
        <v>470</v>
      </c>
      <c r="T31" s="5">
        <v>3</v>
      </c>
      <c r="U31" s="11">
        <v>0.83750000000000002</v>
      </c>
      <c r="V31" s="13">
        <v>211.46199999999999</v>
      </c>
      <c r="W31" s="5" t="s">
        <v>471</v>
      </c>
    </row>
    <row r="32" spans="1:23">
      <c r="A32" t="s">
        <v>134</v>
      </c>
      <c r="B32" t="s">
        <v>135</v>
      </c>
      <c r="C32" t="s">
        <v>136</v>
      </c>
      <c r="D32" t="s">
        <v>19</v>
      </c>
      <c r="E32" t="s">
        <v>20</v>
      </c>
      <c r="F32" t="s">
        <v>134</v>
      </c>
      <c r="G32" t="s">
        <v>137</v>
      </c>
      <c r="H32" t="s">
        <v>22</v>
      </c>
      <c r="L32" t="s">
        <v>23</v>
      </c>
      <c r="M32" t="s">
        <v>24</v>
      </c>
      <c r="N32" t="s">
        <v>25</v>
      </c>
      <c r="Q32" s="11" t="s">
        <v>137</v>
      </c>
      <c r="R32" s="12" t="s">
        <v>136</v>
      </c>
      <c r="S32" s="13" t="s">
        <v>136</v>
      </c>
      <c r="T32" s="5">
        <v>1</v>
      </c>
      <c r="U32" s="11">
        <v>1.0647</v>
      </c>
      <c r="V32" s="13">
        <v>251.8921</v>
      </c>
      <c r="W32" s="5" t="s">
        <v>631</v>
      </c>
    </row>
    <row r="33" spans="1:26">
      <c r="A33" t="s">
        <v>138</v>
      </c>
      <c r="B33" t="s">
        <v>84</v>
      </c>
      <c r="C33" t="s">
        <v>139</v>
      </c>
      <c r="D33" t="s">
        <v>19</v>
      </c>
      <c r="E33" t="s">
        <v>20</v>
      </c>
      <c r="F33" t="s">
        <v>86</v>
      </c>
      <c r="G33" t="s">
        <v>140</v>
      </c>
      <c r="H33" t="s">
        <v>22</v>
      </c>
      <c r="I33" t="s">
        <v>141</v>
      </c>
      <c r="L33" t="s">
        <v>23</v>
      </c>
      <c r="M33" t="s">
        <v>24</v>
      </c>
      <c r="N33" t="s">
        <v>25</v>
      </c>
      <c r="Q33" s="11" t="s">
        <v>140</v>
      </c>
      <c r="R33" s="12" t="s">
        <v>139</v>
      </c>
      <c r="S33" s="13" t="s">
        <v>139</v>
      </c>
      <c r="T33" s="5">
        <v>1</v>
      </c>
      <c r="U33" s="11">
        <v>1.0748</v>
      </c>
      <c r="V33" s="13">
        <v>268.75229999999999</v>
      </c>
      <c r="W33" s="5" t="s">
        <v>632</v>
      </c>
    </row>
    <row r="34" spans="1:26">
      <c r="A34" t="s">
        <v>142</v>
      </c>
      <c r="B34" t="s">
        <v>143</v>
      </c>
      <c r="C34" t="s">
        <v>144</v>
      </c>
      <c r="D34" t="s">
        <v>19</v>
      </c>
      <c r="E34" t="s">
        <v>20</v>
      </c>
      <c r="F34" t="s">
        <v>145</v>
      </c>
      <c r="G34" t="s">
        <v>146</v>
      </c>
      <c r="H34" t="s">
        <v>22</v>
      </c>
      <c r="L34" t="s">
        <v>23</v>
      </c>
      <c r="M34" t="s">
        <v>24</v>
      </c>
      <c r="N34" t="s">
        <v>25</v>
      </c>
      <c r="Q34" s="11" t="s">
        <v>146</v>
      </c>
      <c r="R34" s="12" t="s">
        <v>144</v>
      </c>
      <c r="S34" s="13" t="s">
        <v>633</v>
      </c>
      <c r="T34" s="5">
        <v>2</v>
      </c>
      <c r="U34" s="11">
        <v>0.9627</v>
      </c>
      <c r="V34" s="13">
        <v>130.64340000000001</v>
      </c>
      <c r="W34" s="5" t="s">
        <v>634</v>
      </c>
    </row>
    <row r="35" spans="1:26">
      <c r="A35" t="s">
        <v>147</v>
      </c>
      <c r="B35" t="s">
        <v>148</v>
      </c>
      <c r="C35" t="s">
        <v>149</v>
      </c>
      <c r="D35" t="s">
        <v>19</v>
      </c>
      <c r="E35" t="s">
        <v>20</v>
      </c>
      <c r="F35" t="s">
        <v>147</v>
      </c>
      <c r="G35" t="s">
        <v>150</v>
      </c>
      <c r="H35" t="s">
        <v>22</v>
      </c>
      <c r="I35" t="s">
        <v>151</v>
      </c>
      <c r="L35" t="s">
        <v>23</v>
      </c>
      <c r="M35" t="s">
        <v>24</v>
      </c>
      <c r="N35" t="s">
        <v>25</v>
      </c>
      <c r="Q35" s="11" t="s">
        <v>150</v>
      </c>
      <c r="R35" s="12" t="s">
        <v>149</v>
      </c>
      <c r="S35" s="13" t="s">
        <v>149</v>
      </c>
      <c r="T35" s="5">
        <v>1</v>
      </c>
      <c r="U35" s="11">
        <v>0.95840000000000003</v>
      </c>
      <c r="V35" s="13">
        <v>127.0797</v>
      </c>
      <c r="W35" s="5" t="s">
        <v>635</v>
      </c>
    </row>
    <row r="36" spans="1:26">
      <c r="A36" s="2" t="s">
        <v>152</v>
      </c>
      <c r="B36" s="2" t="s">
        <v>152</v>
      </c>
      <c r="C36" s="2" t="s">
        <v>153</v>
      </c>
      <c r="D36" s="2" t="s">
        <v>19</v>
      </c>
      <c r="E36" s="2" t="s">
        <v>20</v>
      </c>
      <c r="F36" s="2" t="s">
        <v>154</v>
      </c>
      <c r="G36" s="2" t="s">
        <v>155</v>
      </c>
      <c r="H36" s="2" t="s">
        <v>22</v>
      </c>
      <c r="I36" s="2" t="s">
        <v>156</v>
      </c>
      <c r="J36" s="2"/>
      <c r="K36" s="2"/>
      <c r="L36" t="s">
        <v>23</v>
      </c>
      <c r="M36" t="s">
        <v>24</v>
      </c>
      <c r="N36" t="s">
        <v>49</v>
      </c>
      <c r="O36" s="2"/>
      <c r="P36" s="2"/>
      <c r="Q36" s="11" t="s">
        <v>155</v>
      </c>
      <c r="R36" s="12" t="s">
        <v>153</v>
      </c>
      <c r="S36" s="13" t="s">
        <v>153</v>
      </c>
      <c r="T36" s="5">
        <v>1</v>
      </c>
      <c r="U36" s="11">
        <v>0.79649999999999999</v>
      </c>
      <c r="V36" s="13">
        <v>44.445999999999998</v>
      </c>
      <c r="W36" s="5" t="s">
        <v>636</v>
      </c>
      <c r="X36" s="2"/>
      <c r="Y36" s="2"/>
      <c r="Z36" s="2"/>
    </row>
    <row r="37" spans="1:26">
      <c r="A37" s="2" t="s">
        <v>157</v>
      </c>
      <c r="B37" s="2" t="s">
        <v>158</v>
      </c>
      <c r="C37" s="2" t="s">
        <v>159</v>
      </c>
      <c r="D37" s="2" t="s">
        <v>19</v>
      </c>
      <c r="E37" s="2" t="s">
        <v>20</v>
      </c>
      <c r="F37" s="2" t="s">
        <v>157</v>
      </c>
      <c r="G37" s="2" t="s">
        <v>160</v>
      </c>
      <c r="H37" s="2" t="s">
        <v>22</v>
      </c>
      <c r="I37" s="2" t="s">
        <v>161</v>
      </c>
      <c r="J37" s="2"/>
      <c r="K37" s="2"/>
      <c r="L37" t="s">
        <v>23</v>
      </c>
      <c r="M37" t="s">
        <v>24</v>
      </c>
      <c r="N37" t="s">
        <v>25</v>
      </c>
      <c r="Q37" s="11" t="s">
        <v>160</v>
      </c>
      <c r="R37" s="12" t="s">
        <v>159</v>
      </c>
      <c r="S37" s="13" t="s">
        <v>159</v>
      </c>
      <c r="T37" s="5">
        <v>1</v>
      </c>
      <c r="U37" s="11">
        <v>0.96740000000000004</v>
      </c>
      <c r="V37" s="13">
        <v>134.6472</v>
      </c>
      <c r="W37" s="5" t="s">
        <v>637</v>
      </c>
    </row>
    <row r="38" spans="1:26">
      <c r="A38" s="2" t="s">
        <v>162</v>
      </c>
      <c r="B38" s="2" t="s">
        <v>163</v>
      </c>
      <c r="C38" s="2" t="s">
        <v>164</v>
      </c>
      <c r="D38" s="2" t="s">
        <v>19</v>
      </c>
      <c r="E38" s="2" t="s">
        <v>20</v>
      </c>
      <c r="F38" s="2" t="s">
        <v>165</v>
      </c>
      <c r="G38" s="2" t="s">
        <v>166</v>
      </c>
      <c r="H38" s="2" t="s">
        <v>22</v>
      </c>
      <c r="I38" s="2" t="s">
        <v>167</v>
      </c>
      <c r="J38" s="2"/>
      <c r="K38" s="2"/>
      <c r="L38" t="s">
        <v>23</v>
      </c>
      <c r="M38" t="s">
        <v>24</v>
      </c>
      <c r="N38" t="s">
        <v>49</v>
      </c>
      <c r="Q38" s="11" t="s">
        <v>166</v>
      </c>
      <c r="R38" s="12" t="s">
        <v>164</v>
      </c>
      <c r="S38" s="13" t="s">
        <v>169</v>
      </c>
      <c r="T38" s="5"/>
      <c r="U38" s="11">
        <v>1.0871</v>
      </c>
      <c r="V38" s="13">
        <v>290.89670000000001</v>
      </c>
      <c r="W38" s="5" t="s">
        <v>169</v>
      </c>
    </row>
    <row r="39" spans="1:26">
      <c r="A39" s="2" t="s">
        <v>165</v>
      </c>
      <c r="B39" s="2" t="s">
        <v>168</v>
      </c>
      <c r="C39" s="2" t="s">
        <v>169</v>
      </c>
      <c r="D39" s="2" t="s">
        <v>19</v>
      </c>
      <c r="E39" s="2" t="s">
        <v>20</v>
      </c>
      <c r="F39" s="2" t="s">
        <v>165</v>
      </c>
      <c r="G39" s="2" t="s">
        <v>170</v>
      </c>
      <c r="H39" s="2" t="s">
        <v>22</v>
      </c>
      <c r="I39" s="2" t="s">
        <v>171</v>
      </c>
      <c r="J39" s="2"/>
      <c r="K39" s="2"/>
      <c r="L39" t="s">
        <v>23</v>
      </c>
      <c r="M39" t="s">
        <v>24</v>
      </c>
      <c r="N39" t="s">
        <v>49</v>
      </c>
      <c r="Q39" s="11" t="s">
        <v>170</v>
      </c>
      <c r="R39" s="12" t="s">
        <v>169</v>
      </c>
      <c r="S39" s="13" t="s">
        <v>169</v>
      </c>
      <c r="T39" s="5">
        <v>1</v>
      </c>
      <c r="U39" s="11">
        <v>1.0871</v>
      </c>
      <c r="V39" s="13">
        <v>290.89670000000001</v>
      </c>
      <c r="W39" s="5" t="s">
        <v>169</v>
      </c>
    </row>
    <row r="40" spans="1:26">
      <c r="A40" s="2" t="s">
        <v>172</v>
      </c>
      <c r="B40" s="2" t="s">
        <v>173</v>
      </c>
      <c r="C40" s="2" t="s">
        <v>174</v>
      </c>
      <c r="D40" s="2" t="s">
        <v>19</v>
      </c>
      <c r="E40" s="2" t="s">
        <v>20</v>
      </c>
      <c r="F40" s="2" t="s">
        <v>175</v>
      </c>
      <c r="G40" s="2" t="s">
        <v>176</v>
      </c>
      <c r="H40" s="2"/>
      <c r="I40" s="2"/>
      <c r="J40" s="2"/>
      <c r="K40" s="2"/>
      <c r="L40" t="s">
        <v>23</v>
      </c>
      <c r="M40" t="s">
        <v>24</v>
      </c>
      <c r="N40" t="s">
        <v>49</v>
      </c>
      <c r="Q40" s="11" t="s">
        <v>176</v>
      </c>
      <c r="R40" s="12" t="s">
        <v>174</v>
      </c>
      <c r="S40" s="13" t="s">
        <v>638</v>
      </c>
      <c r="T40" s="5">
        <v>4</v>
      </c>
      <c r="U40" s="11">
        <v>0.76470000000000005</v>
      </c>
      <c r="V40" s="13">
        <v>132.33099999999999</v>
      </c>
      <c r="W40" s="5" t="s">
        <v>639</v>
      </c>
    </row>
    <row r="41" spans="1:26">
      <c r="A41" s="2" t="s">
        <v>172</v>
      </c>
      <c r="B41" s="2" t="s">
        <v>173</v>
      </c>
      <c r="C41" s="2" t="s">
        <v>174</v>
      </c>
      <c r="D41" s="2" t="s">
        <v>19</v>
      </c>
      <c r="E41" s="2" t="s">
        <v>20</v>
      </c>
      <c r="F41" s="2" t="s">
        <v>175</v>
      </c>
      <c r="G41" s="2" t="s">
        <v>176</v>
      </c>
      <c r="H41" s="2"/>
      <c r="I41" s="2"/>
      <c r="J41" s="2"/>
      <c r="K41" s="2"/>
      <c r="L41" t="s">
        <v>23</v>
      </c>
      <c r="M41" t="s">
        <v>24</v>
      </c>
      <c r="N41" t="s">
        <v>49</v>
      </c>
      <c r="Q41" s="11" t="s">
        <v>176</v>
      </c>
      <c r="R41" s="12" t="s">
        <v>174</v>
      </c>
      <c r="S41" s="13" t="s">
        <v>638</v>
      </c>
      <c r="T41" s="5">
        <v>4</v>
      </c>
      <c r="U41" s="11">
        <v>0.76470000000000005</v>
      </c>
      <c r="V41" s="13">
        <v>132.33099999999999</v>
      </c>
      <c r="W41" s="5" t="s">
        <v>639</v>
      </c>
    </row>
    <row r="42" spans="1:26">
      <c r="A42" t="s">
        <v>16</v>
      </c>
      <c r="B42" t="s">
        <v>17</v>
      </c>
      <c r="C42" t="s">
        <v>177</v>
      </c>
      <c r="D42" t="s">
        <v>44</v>
      </c>
      <c r="E42" t="s">
        <v>20</v>
      </c>
      <c r="F42" t="s">
        <v>178</v>
      </c>
      <c r="H42" t="s">
        <v>179</v>
      </c>
      <c r="J42">
        <v>15670</v>
      </c>
      <c r="L42" t="s">
        <v>180</v>
      </c>
      <c r="M42" t="s">
        <v>24</v>
      </c>
      <c r="N42" t="s">
        <v>49</v>
      </c>
      <c r="Q42" s="11" t="s">
        <v>481</v>
      </c>
      <c r="R42" s="12" t="s">
        <v>177</v>
      </c>
      <c r="S42" s="13"/>
      <c r="T42" s="5"/>
      <c r="U42" s="11"/>
      <c r="V42" s="13"/>
      <c r="W42" s="5" t="s">
        <v>640</v>
      </c>
    </row>
    <row r="43" spans="1:26">
      <c r="A43" t="s">
        <v>26</v>
      </c>
      <c r="B43" t="s">
        <v>27</v>
      </c>
      <c r="C43" t="s">
        <v>181</v>
      </c>
      <c r="D43" t="s">
        <v>127</v>
      </c>
      <c r="E43" t="s">
        <v>127</v>
      </c>
      <c r="F43" t="s">
        <v>182</v>
      </c>
      <c r="H43" t="s">
        <v>183</v>
      </c>
      <c r="J43">
        <v>12867</v>
      </c>
      <c r="L43" t="s">
        <v>180</v>
      </c>
      <c r="M43" t="s">
        <v>24</v>
      </c>
      <c r="N43" t="s">
        <v>421</v>
      </c>
      <c r="Q43" s="11" t="s">
        <v>483</v>
      </c>
      <c r="R43" s="12" t="s">
        <v>181</v>
      </c>
      <c r="S43" s="13" t="s">
        <v>181</v>
      </c>
      <c r="T43" s="5">
        <v>1</v>
      </c>
      <c r="U43" s="11">
        <v>1.1024</v>
      </c>
      <c r="V43" s="13">
        <v>320.87009999999998</v>
      </c>
      <c r="W43" s="5" t="s">
        <v>641</v>
      </c>
    </row>
    <row r="44" spans="1:26">
      <c r="A44" t="s">
        <v>184</v>
      </c>
      <c r="B44" t="s">
        <v>185</v>
      </c>
      <c r="C44" t="s">
        <v>186</v>
      </c>
      <c r="D44" t="s">
        <v>19</v>
      </c>
      <c r="E44" t="s">
        <v>20</v>
      </c>
      <c r="F44" t="s">
        <v>187</v>
      </c>
      <c r="H44" t="s">
        <v>188</v>
      </c>
      <c r="J44">
        <v>15010</v>
      </c>
      <c r="L44" t="s">
        <v>180</v>
      </c>
      <c r="M44" t="s">
        <v>24</v>
      </c>
      <c r="N44" t="s">
        <v>25</v>
      </c>
      <c r="Q44" s="11" t="s">
        <v>485</v>
      </c>
      <c r="R44" s="12" t="s">
        <v>186</v>
      </c>
      <c r="S44" s="13" t="s">
        <v>186</v>
      </c>
      <c r="T44" s="5">
        <v>1</v>
      </c>
      <c r="U44" s="11">
        <v>0.9627</v>
      </c>
      <c r="V44" s="13">
        <v>130.64340000000001</v>
      </c>
      <c r="W44" s="5" t="s">
        <v>642</v>
      </c>
    </row>
    <row r="45" spans="1:26">
      <c r="A45" t="s">
        <v>53</v>
      </c>
      <c r="B45" t="s">
        <v>54</v>
      </c>
      <c r="C45" t="s">
        <v>55</v>
      </c>
      <c r="D45" t="s">
        <v>19</v>
      </c>
      <c r="E45" t="s">
        <v>20</v>
      </c>
      <c r="F45" t="s">
        <v>53</v>
      </c>
      <c r="H45" t="s">
        <v>189</v>
      </c>
      <c r="J45">
        <v>5628</v>
      </c>
      <c r="L45" t="s">
        <v>180</v>
      </c>
      <c r="M45" t="s">
        <v>24</v>
      </c>
      <c r="N45" t="s">
        <v>25</v>
      </c>
      <c r="Q45" s="11" t="s">
        <v>488</v>
      </c>
      <c r="R45" s="12" t="s">
        <v>55</v>
      </c>
      <c r="S45" s="13" t="s">
        <v>55</v>
      </c>
      <c r="T45" s="5">
        <v>1</v>
      </c>
      <c r="U45" s="11">
        <v>1.0072000000000001</v>
      </c>
      <c r="V45" s="13">
        <v>174.06059999999999</v>
      </c>
      <c r="W45" s="5" t="s">
        <v>451</v>
      </c>
    </row>
    <row r="46" spans="1:26">
      <c r="A46" t="s">
        <v>190</v>
      </c>
      <c r="B46" t="s">
        <v>191</v>
      </c>
      <c r="C46" t="s">
        <v>192</v>
      </c>
      <c r="D46" t="s">
        <v>19</v>
      </c>
      <c r="E46" t="s">
        <v>20</v>
      </c>
      <c r="F46" t="s">
        <v>193</v>
      </c>
      <c r="H46" t="s">
        <v>22</v>
      </c>
      <c r="J46">
        <v>3130</v>
      </c>
      <c r="L46" t="s">
        <v>180</v>
      </c>
      <c r="M46" t="s">
        <v>24</v>
      </c>
      <c r="N46" t="s">
        <v>25</v>
      </c>
      <c r="Q46" s="11" t="s">
        <v>489</v>
      </c>
      <c r="R46" s="12" t="s">
        <v>192</v>
      </c>
      <c r="S46" s="13" t="s">
        <v>192</v>
      </c>
      <c r="T46" s="5">
        <v>1</v>
      </c>
      <c r="U46" s="11">
        <v>1.1708000000000001</v>
      </c>
      <c r="V46" s="13">
        <v>497.69319999999999</v>
      </c>
      <c r="W46" s="5" t="s">
        <v>643</v>
      </c>
    </row>
    <row r="47" spans="1:26">
      <c r="A47" t="s">
        <v>68</v>
      </c>
      <c r="B47" t="s">
        <v>69</v>
      </c>
      <c r="C47" t="s">
        <v>70</v>
      </c>
      <c r="D47" t="s">
        <v>19</v>
      </c>
      <c r="E47" t="s">
        <v>20</v>
      </c>
      <c r="F47" t="s">
        <v>194</v>
      </c>
      <c r="H47" t="s">
        <v>189</v>
      </c>
      <c r="J47">
        <v>3155</v>
      </c>
      <c r="L47" t="s">
        <v>180</v>
      </c>
      <c r="M47" t="s">
        <v>24</v>
      </c>
      <c r="N47" t="s">
        <v>25</v>
      </c>
      <c r="Q47" s="11" t="s">
        <v>491</v>
      </c>
      <c r="R47" s="12" t="s">
        <v>70</v>
      </c>
      <c r="S47" s="13" t="s">
        <v>70</v>
      </c>
      <c r="T47" s="5">
        <v>1</v>
      </c>
      <c r="U47" s="11">
        <v>1.0012000000000001</v>
      </c>
      <c r="V47" s="13">
        <v>167.47219999999999</v>
      </c>
      <c r="W47" s="5" t="s">
        <v>644</v>
      </c>
    </row>
    <row r="48" spans="1:26">
      <c r="A48" t="s">
        <v>195</v>
      </c>
      <c r="B48" t="s">
        <v>196</v>
      </c>
      <c r="C48" t="s">
        <v>197</v>
      </c>
      <c r="D48" t="s">
        <v>19</v>
      </c>
      <c r="E48" t="s">
        <v>20</v>
      </c>
      <c r="F48" t="s">
        <v>198</v>
      </c>
      <c r="H48" t="s">
        <v>189</v>
      </c>
      <c r="J48">
        <v>3098</v>
      </c>
      <c r="L48" t="s">
        <v>180</v>
      </c>
      <c r="M48" t="s">
        <v>24</v>
      </c>
      <c r="N48" t="s">
        <v>25</v>
      </c>
      <c r="Q48" s="11" t="s">
        <v>493</v>
      </c>
      <c r="R48" s="12" t="s">
        <v>197</v>
      </c>
      <c r="S48" s="13" t="s">
        <v>197</v>
      </c>
      <c r="T48" s="5">
        <v>1</v>
      </c>
      <c r="U48" s="11">
        <v>0.97319999999999995</v>
      </c>
      <c r="V48" s="13">
        <v>139.83090000000001</v>
      </c>
      <c r="W48" s="5" t="s">
        <v>645</v>
      </c>
    </row>
    <row r="49" spans="1:23">
      <c r="A49" t="s">
        <v>199</v>
      </c>
      <c r="B49" t="s">
        <v>200</v>
      </c>
      <c r="C49" t="s">
        <v>201</v>
      </c>
      <c r="D49" t="s">
        <v>19</v>
      </c>
      <c r="E49" t="s">
        <v>20</v>
      </c>
      <c r="F49" t="s">
        <v>202</v>
      </c>
      <c r="H49" t="s">
        <v>203</v>
      </c>
      <c r="J49">
        <v>3240</v>
      </c>
      <c r="L49" t="s">
        <v>180</v>
      </c>
      <c r="M49" t="s">
        <v>24</v>
      </c>
      <c r="N49" t="s">
        <v>25</v>
      </c>
      <c r="Q49" s="11" t="s">
        <v>495</v>
      </c>
      <c r="R49" s="12" t="s">
        <v>201</v>
      </c>
      <c r="S49" s="13" t="s">
        <v>201</v>
      </c>
      <c r="T49" s="5">
        <v>1</v>
      </c>
      <c r="U49" s="11">
        <v>0.94499999999999995</v>
      </c>
      <c r="V49" s="13">
        <v>116.56959999999999</v>
      </c>
      <c r="W49" s="5" t="s">
        <v>646</v>
      </c>
    </row>
    <row r="50" spans="1:23">
      <c r="A50" t="s">
        <v>204</v>
      </c>
      <c r="B50" t="s">
        <v>205</v>
      </c>
      <c r="C50" t="s">
        <v>206</v>
      </c>
      <c r="D50" t="s">
        <v>19</v>
      </c>
      <c r="E50" t="s">
        <v>20</v>
      </c>
      <c r="F50" t="s">
        <v>207</v>
      </c>
      <c r="H50" t="s">
        <v>208</v>
      </c>
      <c r="J50">
        <v>10566</v>
      </c>
      <c r="L50" t="s">
        <v>180</v>
      </c>
      <c r="M50" t="s">
        <v>24</v>
      </c>
      <c r="N50" t="s">
        <v>25</v>
      </c>
      <c r="Q50" s="11" t="s">
        <v>497</v>
      </c>
      <c r="R50" s="12" t="s">
        <v>206</v>
      </c>
      <c r="S50" s="13" t="s">
        <v>206</v>
      </c>
      <c r="T50" s="5">
        <v>1</v>
      </c>
      <c r="U50" s="11">
        <v>1.0789</v>
      </c>
      <c r="V50" s="13">
        <v>275.84249999999997</v>
      </c>
      <c r="W50" s="5" t="s">
        <v>647</v>
      </c>
    </row>
    <row r="51" spans="1:23">
      <c r="A51" t="s">
        <v>209</v>
      </c>
      <c r="B51" t="s">
        <v>210</v>
      </c>
      <c r="C51" t="s">
        <v>211</v>
      </c>
      <c r="D51" t="s">
        <v>19</v>
      </c>
      <c r="E51" t="s">
        <v>20</v>
      </c>
      <c r="F51" t="s">
        <v>212</v>
      </c>
      <c r="H51" t="s">
        <v>189</v>
      </c>
      <c r="J51">
        <v>9059</v>
      </c>
      <c r="L51" t="s">
        <v>180</v>
      </c>
      <c r="M51" t="s">
        <v>24</v>
      </c>
      <c r="N51" t="s">
        <v>25</v>
      </c>
      <c r="Q51" s="11" t="s">
        <v>499</v>
      </c>
      <c r="R51" s="12" t="s">
        <v>211</v>
      </c>
      <c r="S51" s="13" t="s">
        <v>648</v>
      </c>
      <c r="T51" s="5">
        <v>3</v>
      </c>
      <c r="U51" s="11">
        <v>0.96399999999999997</v>
      </c>
      <c r="V51" s="13">
        <v>131.72810000000001</v>
      </c>
      <c r="W51" s="5" t="s">
        <v>649</v>
      </c>
    </row>
    <row r="52" spans="1:23">
      <c r="A52" t="s">
        <v>213</v>
      </c>
      <c r="B52" t="s">
        <v>214</v>
      </c>
      <c r="C52" t="s">
        <v>215</v>
      </c>
      <c r="D52" t="s">
        <v>44</v>
      </c>
      <c r="E52" t="s">
        <v>20</v>
      </c>
      <c r="F52" t="s">
        <v>216</v>
      </c>
      <c r="H52" t="s">
        <v>217</v>
      </c>
      <c r="J52">
        <v>10523</v>
      </c>
      <c r="L52" t="s">
        <v>180</v>
      </c>
      <c r="M52" t="s">
        <v>24</v>
      </c>
      <c r="N52" t="s">
        <v>25</v>
      </c>
      <c r="Q52" s="11" t="s">
        <v>502</v>
      </c>
      <c r="R52" s="12" t="s">
        <v>215</v>
      </c>
      <c r="S52" s="13" t="s">
        <v>650</v>
      </c>
      <c r="T52" s="5"/>
      <c r="U52" s="11">
        <v>0.871</v>
      </c>
      <c r="V52" s="13">
        <v>37.618499999999997</v>
      </c>
      <c r="W52" s="5" t="s">
        <v>651</v>
      </c>
    </row>
    <row r="53" spans="1:23">
      <c r="A53" t="s">
        <v>213</v>
      </c>
      <c r="B53" t="s">
        <v>214</v>
      </c>
      <c r="C53" t="s">
        <v>218</v>
      </c>
      <c r="D53" t="s">
        <v>19</v>
      </c>
      <c r="E53" t="s">
        <v>20</v>
      </c>
      <c r="F53" t="s">
        <v>216</v>
      </c>
      <c r="H53" t="s">
        <v>219</v>
      </c>
      <c r="J53">
        <v>10521</v>
      </c>
      <c r="L53" t="s">
        <v>180</v>
      </c>
      <c r="M53" t="s">
        <v>24</v>
      </c>
      <c r="N53" t="s">
        <v>25</v>
      </c>
      <c r="Q53" s="11" t="s">
        <v>504</v>
      </c>
      <c r="R53" s="12" t="s">
        <v>218</v>
      </c>
      <c r="S53" s="13" t="s">
        <v>652</v>
      </c>
      <c r="T53" s="5"/>
      <c r="U53" s="11">
        <v>0.78890000000000005</v>
      </c>
      <c r="V53" s="13">
        <v>42.289299999999997</v>
      </c>
      <c r="W53" s="5" t="s">
        <v>653</v>
      </c>
    </row>
    <row r="54" spans="1:23">
      <c r="A54" t="s">
        <v>220</v>
      </c>
      <c r="B54" t="s">
        <v>221</v>
      </c>
      <c r="C54" t="s">
        <v>222</v>
      </c>
      <c r="D54" t="s">
        <v>19</v>
      </c>
      <c r="E54" t="s">
        <v>20</v>
      </c>
      <c r="F54" t="s">
        <v>223</v>
      </c>
      <c r="H54" t="s">
        <v>22</v>
      </c>
      <c r="J54">
        <v>9770</v>
      </c>
      <c r="L54" t="s">
        <v>180</v>
      </c>
      <c r="M54" t="s">
        <v>24</v>
      </c>
      <c r="N54" t="s">
        <v>25</v>
      </c>
      <c r="Q54" s="11" t="s">
        <v>507</v>
      </c>
      <c r="R54" s="12" t="s">
        <v>222</v>
      </c>
      <c r="S54" s="13" t="s">
        <v>508</v>
      </c>
      <c r="T54" s="5"/>
      <c r="U54" s="11">
        <v>1.1358999999999999</v>
      </c>
      <c r="V54" s="13">
        <v>397.85239999999999</v>
      </c>
      <c r="W54" s="5" t="s">
        <v>654</v>
      </c>
    </row>
    <row r="55" spans="1:23">
      <c r="A55" t="s">
        <v>224</v>
      </c>
      <c r="B55" t="s">
        <v>148</v>
      </c>
      <c r="C55" t="s">
        <v>149</v>
      </c>
      <c r="D55" t="s">
        <v>19</v>
      </c>
      <c r="E55" t="s">
        <v>20</v>
      </c>
      <c r="F55" t="s">
        <v>225</v>
      </c>
      <c r="H55" t="s">
        <v>226</v>
      </c>
      <c r="J55">
        <v>15418</v>
      </c>
      <c r="L55" t="s">
        <v>180</v>
      </c>
      <c r="M55" t="s">
        <v>24</v>
      </c>
      <c r="N55" t="s">
        <v>49</v>
      </c>
      <c r="Q55" s="11" t="s">
        <v>510</v>
      </c>
      <c r="R55" s="12" t="s">
        <v>149</v>
      </c>
      <c r="S55" s="13" t="s">
        <v>149</v>
      </c>
      <c r="T55" s="5">
        <v>1</v>
      </c>
      <c r="U55" s="11">
        <v>0.95840000000000003</v>
      </c>
      <c r="V55" s="13">
        <v>127.0797</v>
      </c>
      <c r="W55" s="5" t="s">
        <v>655</v>
      </c>
    </row>
    <row r="56" spans="1:23">
      <c r="A56" t="s">
        <v>224</v>
      </c>
      <c r="B56" t="s">
        <v>148</v>
      </c>
      <c r="C56" t="s">
        <v>149</v>
      </c>
      <c r="D56" t="s">
        <v>19</v>
      </c>
      <c r="E56" t="s">
        <v>20</v>
      </c>
      <c r="F56" t="s">
        <v>225</v>
      </c>
      <c r="H56" t="s">
        <v>226</v>
      </c>
      <c r="J56">
        <v>15418</v>
      </c>
      <c r="L56" t="s">
        <v>180</v>
      </c>
      <c r="M56" t="s">
        <v>24</v>
      </c>
      <c r="N56" t="s">
        <v>421</v>
      </c>
      <c r="Q56" s="11" t="s">
        <v>510</v>
      </c>
      <c r="R56" s="12" t="s">
        <v>149</v>
      </c>
      <c r="S56" s="13" t="s">
        <v>149</v>
      </c>
      <c r="T56" s="5">
        <v>1</v>
      </c>
      <c r="U56" s="11">
        <v>0.95840000000000003</v>
      </c>
      <c r="V56" s="13">
        <v>127.0797</v>
      </c>
      <c r="W56" s="5" t="s">
        <v>655</v>
      </c>
    </row>
    <row r="57" spans="1:23">
      <c r="A57" t="s">
        <v>227</v>
      </c>
      <c r="B57" t="s">
        <v>158</v>
      </c>
      <c r="C57" t="s">
        <v>159</v>
      </c>
      <c r="D57" t="s">
        <v>19</v>
      </c>
      <c r="E57" t="s">
        <v>20</v>
      </c>
      <c r="F57" t="s">
        <v>228</v>
      </c>
      <c r="H57" t="s">
        <v>229</v>
      </c>
      <c r="J57">
        <v>12829</v>
      </c>
      <c r="L57" t="s">
        <v>180</v>
      </c>
      <c r="M57" t="s">
        <v>24</v>
      </c>
      <c r="Q57" s="11" t="s">
        <v>512</v>
      </c>
      <c r="R57" s="12" t="s">
        <v>159</v>
      </c>
      <c r="S57" s="13" t="s">
        <v>513</v>
      </c>
      <c r="T57" s="5"/>
      <c r="U57" s="11">
        <v>0.77990000000000004</v>
      </c>
      <c r="V57" s="13">
        <v>145.97319999999999</v>
      </c>
      <c r="W57" s="5" t="s">
        <v>514</v>
      </c>
    </row>
    <row r="58" spans="1:23">
      <c r="A58" t="s">
        <v>230</v>
      </c>
      <c r="B58" t="s">
        <v>231</v>
      </c>
      <c r="C58" t="s">
        <v>232</v>
      </c>
      <c r="D58" t="s">
        <v>127</v>
      </c>
      <c r="E58" t="s">
        <v>127</v>
      </c>
      <c r="F58" t="s">
        <v>233</v>
      </c>
      <c r="H58" t="s">
        <v>234</v>
      </c>
      <c r="J58">
        <v>23253</v>
      </c>
      <c r="L58" t="s">
        <v>180</v>
      </c>
      <c r="M58" t="s">
        <v>24</v>
      </c>
      <c r="Q58" s="11" t="s">
        <v>515</v>
      </c>
      <c r="R58" s="12" t="s">
        <v>232</v>
      </c>
      <c r="S58" s="13" t="s">
        <v>516</v>
      </c>
      <c r="T58" s="5"/>
      <c r="U58" s="11">
        <v>1.0858000000000001</v>
      </c>
      <c r="V58" s="13">
        <v>288.4169</v>
      </c>
      <c r="W58" s="5" t="s">
        <v>656</v>
      </c>
    </row>
    <row r="59" spans="1:23">
      <c r="A59" t="s">
        <v>235</v>
      </c>
      <c r="B59" t="s">
        <v>236</v>
      </c>
      <c r="C59" t="s">
        <v>237</v>
      </c>
      <c r="D59" t="s">
        <v>19</v>
      </c>
      <c r="E59" t="s">
        <v>20</v>
      </c>
      <c r="F59" t="s">
        <v>238</v>
      </c>
      <c r="H59" t="s">
        <v>239</v>
      </c>
      <c r="J59">
        <v>13567</v>
      </c>
      <c r="L59" t="s">
        <v>180</v>
      </c>
      <c r="M59" t="s">
        <v>24</v>
      </c>
      <c r="N59" t="s">
        <v>49</v>
      </c>
      <c r="Q59" s="11" t="s">
        <v>518</v>
      </c>
      <c r="R59" s="12" t="s">
        <v>237</v>
      </c>
      <c r="S59" s="13"/>
      <c r="T59" s="5">
        <v>1</v>
      </c>
      <c r="U59" s="11"/>
      <c r="V59" s="13"/>
      <c r="W59" s="5" t="s">
        <v>657</v>
      </c>
    </row>
    <row r="60" spans="1:23">
      <c r="A60" t="s">
        <v>240</v>
      </c>
      <c r="B60" t="s">
        <v>241</v>
      </c>
      <c r="C60" t="s">
        <v>242</v>
      </c>
      <c r="D60" t="s">
        <v>19</v>
      </c>
      <c r="E60" t="s">
        <v>20</v>
      </c>
      <c r="F60" t="s">
        <v>243</v>
      </c>
      <c r="H60" t="s">
        <v>244</v>
      </c>
      <c r="J60">
        <v>11807</v>
      </c>
      <c r="L60" t="s">
        <v>180</v>
      </c>
      <c r="M60" t="s">
        <v>24</v>
      </c>
      <c r="Q60" s="11" t="s">
        <v>521</v>
      </c>
      <c r="R60" s="12" t="s">
        <v>242</v>
      </c>
      <c r="S60" s="13" t="s">
        <v>242</v>
      </c>
      <c r="T60" s="5">
        <v>1</v>
      </c>
      <c r="U60" s="11">
        <v>0.98609999999999998</v>
      </c>
      <c r="V60" s="13">
        <v>151.96940000000001</v>
      </c>
      <c r="W60" s="5" t="s">
        <v>522</v>
      </c>
    </row>
    <row r="61" spans="1:23">
      <c r="A61" t="s">
        <v>245</v>
      </c>
      <c r="B61" t="s">
        <v>246</v>
      </c>
      <c r="C61" t="s">
        <v>247</v>
      </c>
      <c r="D61" t="s">
        <v>19</v>
      </c>
      <c r="E61" t="s">
        <v>20</v>
      </c>
      <c r="F61" t="s">
        <v>248</v>
      </c>
      <c r="H61" t="s">
        <v>249</v>
      </c>
      <c r="J61">
        <v>14568</v>
      </c>
      <c r="L61" t="s">
        <v>180</v>
      </c>
      <c r="M61" t="s">
        <v>24</v>
      </c>
      <c r="Q61" s="11" t="s">
        <v>523</v>
      </c>
      <c r="R61" s="12" t="s">
        <v>247</v>
      </c>
      <c r="S61" s="13" t="s">
        <v>524</v>
      </c>
      <c r="T61" s="5"/>
      <c r="U61" s="11">
        <v>1.0679000000000001</v>
      </c>
      <c r="V61" s="13">
        <v>257.07319999999999</v>
      </c>
      <c r="W61" s="5" t="s">
        <v>658</v>
      </c>
    </row>
    <row r="62" spans="1:23">
      <c r="A62" t="s">
        <v>184</v>
      </c>
      <c r="B62" t="s">
        <v>185</v>
      </c>
      <c r="C62" t="s">
        <v>186</v>
      </c>
      <c r="D62" t="s">
        <v>19</v>
      </c>
      <c r="E62" t="s">
        <v>20</v>
      </c>
      <c r="F62" t="s">
        <v>184</v>
      </c>
      <c r="H62" t="s">
        <v>250</v>
      </c>
      <c r="K62" t="s">
        <v>251</v>
      </c>
      <c r="L62" t="s">
        <v>252</v>
      </c>
      <c r="M62" t="s">
        <v>24</v>
      </c>
      <c r="N62" t="s">
        <v>49</v>
      </c>
      <c r="Q62" s="11" t="s">
        <v>526</v>
      </c>
      <c r="R62" s="12" t="s">
        <v>186</v>
      </c>
      <c r="S62" s="13" t="s">
        <v>186</v>
      </c>
      <c r="T62" s="5">
        <v>1</v>
      </c>
      <c r="U62" s="11">
        <v>0.87729999999999997</v>
      </c>
      <c r="V62" s="13">
        <v>75.251499999999993</v>
      </c>
      <c r="W62" s="5" t="s">
        <v>659</v>
      </c>
    </row>
    <row r="63" spans="1:23">
      <c r="A63" t="s">
        <v>184</v>
      </c>
      <c r="B63" t="s">
        <v>185</v>
      </c>
      <c r="C63" t="s">
        <v>186</v>
      </c>
      <c r="D63" t="s">
        <v>19</v>
      </c>
      <c r="E63" t="s">
        <v>20</v>
      </c>
      <c r="F63" t="s">
        <v>184</v>
      </c>
      <c r="H63" t="s">
        <v>250</v>
      </c>
      <c r="K63" t="s">
        <v>251</v>
      </c>
      <c r="L63" t="s">
        <v>252</v>
      </c>
      <c r="M63" t="s">
        <v>24</v>
      </c>
      <c r="N63" t="s">
        <v>421</v>
      </c>
      <c r="Q63" s="11" t="s">
        <v>526</v>
      </c>
      <c r="R63" s="12" t="s">
        <v>186</v>
      </c>
      <c r="S63" s="13" t="s">
        <v>186</v>
      </c>
      <c r="T63" s="5">
        <v>1</v>
      </c>
      <c r="U63" s="11">
        <v>0.87729999999999997</v>
      </c>
      <c r="V63" s="13">
        <v>75.251499999999993</v>
      </c>
      <c r="W63" s="5" t="s">
        <v>659</v>
      </c>
    </row>
    <row r="64" spans="1:23">
      <c r="A64" t="s">
        <v>253</v>
      </c>
      <c r="B64" t="s">
        <v>214</v>
      </c>
      <c r="C64" t="s">
        <v>254</v>
      </c>
      <c r="D64" t="s">
        <v>127</v>
      </c>
      <c r="E64" t="s">
        <v>127</v>
      </c>
      <c r="F64" t="s">
        <v>253</v>
      </c>
      <c r="H64" t="s">
        <v>127</v>
      </c>
      <c r="K64">
        <v>1680</v>
      </c>
      <c r="L64" t="s">
        <v>252</v>
      </c>
      <c r="M64" t="s">
        <v>24</v>
      </c>
      <c r="Q64" s="11" t="s">
        <v>528</v>
      </c>
      <c r="R64" s="12" t="s">
        <v>254</v>
      </c>
      <c r="S64" s="13" t="s">
        <v>254</v>
      </c>
      <c r="T64" s="5">
        <v>1</v>
      </c>
      <c r="U64" s="11">
        <v>1.2</v>
      </c>
      <c r="V64" s="13">
        <v>742.96540000000005</v>
      </c>
      <c r="W64" s="5" t="s">
        <v>660</v>
      </c>
    </row>
    <row r="65" spans="1:23">
      <c r="A65" t="s">
        <v>255</v>
      </c>
      <c r="B65" t="s">
        <v>256</v>
      </c>
      <c r="C65" t="s">
        <v>257</v>
      </c>
      <c r="D65" t="s">
        <v>79</v>
      </c>
      <c r="E65" t="s">
        <v>20</v>
      </c>
      <c r="F65" t="s">
        <v>258</v>
      </c>
      <c r="H65" t="s">
        <v>259</v>
      </c>
      <c r="K65" t="s">
        <v>260</v>
      </c>
      <c r="L65" t="s">
        <v>252</v>
      </c>
      <c r="M65" t="s">
        <v>24</v>
      </c>
      <c r="Q65" s="11" t="s">
        <v>530</v>
      </c>
      <c r="R65" s="12" t="s">
        <v>257</v>
      </c>
      <c r="S65" s="13" t="s">
        <v>257</v>
      </c>
      <c r="T65" s="5">
        <v>1</v>
      </c>
      <c r="U65" s="11">
        <v>1.0792999999999999</v>
      </c>
      <c r="V65" s="13">
        <v>276.6472</v>
      </c>
      <c r="W65" s="5" t="s">
        <v>661</v>
      </c>
    </row>
    <row r="66" spans="1:23">
      <c r="A66" t="s">
        <v>261</v>
      </c>
      <c r="B66" t="s">
        <v>262</v>
      </c>
      <c r="C66" t="s">
        <v>263</v>
      </c>
      <c r="D66" t="s">
        <v>19</v>
      </c>
      <c r="E66" t="s">
        <v>20</v>
      </c>
      <c r="F66" t="s">
        <v>261</v>
      </c>
      <c r="H66" t="s">
        <v>189</v>
      </c>
      <c r="K66" t="s">
        <v>264</v>
      </c>
      <c r="L66" t="s">
        <v>252</v>
      </c>
      <c r="M66" t="s">
        <v>24</v>
      </c>
      <c r="Q66" s="11" t="s">
        <v>532</v>
      </c>
      <c r="R66" s="12" t="s">
        <v>263</v>
      </c>
      <c r="S66" s="13" t="s">
        <v>263</v>
      </c>
      <c r="T66" s="5">
        <v>1</v>
      </c>
      <c r="U66" s="11">
        <v>1.1113</v>
      </c>
      <c r="V66" s="13">
        <v>339.65589999999997</v>
      </c>
      <c r="W66" s="5" t="s">
        <v>662</v>
      </c>
    </row>
    <row r="67" spans="1:23">
      <c r="A67" t="s">
        <v>265</v>
      </c>
      <c r="B67" t="s">
        <v>266</v>
      </c>
      <c r="C67" t="s">
        <v>267</v>
      </c>
      <c r="D67" t="s">
        <v>19</v>
      </c>
      <c r="E67" t="s">
        <v>20</v>
      </c>
      <c r="F67" t="s">
        <v>268</v>
      </c>
      <c r="H67" t="s">
        <v>269</v>
      </c>
      <c r="K67">
        <v>2207</v>
      </c>
      <c r="L67" t="s">
        <v>252</v>
      </c>
      <c r="M67" t="s">
        <v>24</v>
      </c>
      <c r="N67" t="s">
        <v>49</v>
      </c>
      <c r="Q67" s="11" t="s">
        <v>534</v>
      </c>
      <c r="R67" s="12" t="s">
        <v>267</v>
      </c>
      <c r="S67" s="13" t="s">
        <v>267</v>
      </c>
      <c r="T67" s="5">
        <v>1</v>
      </c>
      <c r="U67" s="11">
        <v>0.84319999999999995</v>
      </c>
      <c r="V67" s="13">
        <v>60.283700000000003</v>
      </c>
      <c r="W67" s="5" t="s">
        <v>663</v>
      </c>
    </row>
    <row r="68" spans="1:23">
      <c r="A68" t="s">
        <v>270</v>
      </c>
      <c r="B68" t="s">
        <v>271</v>
      </c>
      <c r="C68" s="3" t="s">
        <v>272</v>
      </c>
      <c r="D68" t="s">
        <v>79</v>
      </c>
      <c r="E68" t="s">
        <v>20</v>
      </c>
      <c r="F68" t="s">
        <v>273</v>
      </c>
      <c r="H68" t="s">
        <v>259</v>
      </c>
      <c r="K68">
        <v>1915</v>
      </c>
      <c r="L68" t="s">
        <v>252</v>
      </c>
      <c r="M68" t="s">
        <v>24</v>
      </c>
      <c r="N68" t="s">
        <v>25</v>
      </c>
      <c r="Q68" s="11" t="s">
        <v>536</v>
      </c>
      <c r="R68" s="12" t="s">
        <v>272</v>
      </c>
      <c r="S68" s="13" t="s">
        <v>272</v>
      </c>
      <c r="T68" s="5">
        <v>1</v>
      </c>
      <c r="U68" s="11">
        <v>1.0033000000000001</v>
      </c>
      <c r="V68" s="13">
        <v>169.6798</v>
      </c>
      <c r="W68" s="5" t="s">
        <v>664</v>
      </c>
    </row>
    <row r="69" spans="1:23">
      <c r="A69" t="s">
        <v>274</v>
      </c>
      <c r="B69" t="s">
        <v>275</v>
      </c>
      <c r="C69" t="s">
        <v>276</v>
      </c>
      <c r="D69" t="s">
        <v>44</v>
      </c>
      <c r="E69" t="s">
        <v>20</v>
      </c>
      <c r="F69" t="s">
        <v>277</v>
      </c>
      <c r="H69" t="s">
        <v>278</v>
      </c>
      <c r="K69">
        <v>1926</v>
      </c>
      <c r="L69" t="s">
        <v>252</v>
      </c>
      <c r="M69" t="s">
        <v>24</v>
      </c>
      <c r="N69" t="s">
        <v>25</v>
      </c>
      <c r="Q69" s="11" t="s">
        <v>538</v>
      </c>
      <c r="R69" s="12" t="s">
        <v>276</v>
      </c>
      <c r="S69" s="13" t="s">
        <v>276</v>
      </c>
      <c r="T69" s="5">
        <v>1</v>
      </c>
      <c r="U69" s="11">
        <v>1.1686000000000001</v>
      </c>
      <c r="V69" s="13">
        <v>258.20460000000003</v>
      </c>
      <c r="W69" s="5" t="s">
        <v>665</v>
      </c>
    </row>
    <row r="70" spans="1:23">
      <c r="A70" t="s">
        <v>279</v>
      </c>
      <c r="B70" t="s">
        <v>280</v>
      </c>
      <c r="C70" t="s">
        <v>281</v>
      </c>
      <c r="D70" t="s">
        <v>79</v>
      </c>
      <c r="E70" t="s">
        <v>20</v>
      </c>
      <c r="F70" t="s">
        <v>282</v>
      </c>
      <c r="H70" t="s">
        <v>82</v>
      </c>
      <c r="K70" t="s">
        <v>283</v>
      </c>
      <c r="L70" t="s">
        <v>252</v>
      </c>
      <c r="M70" t="s">
        <v>24</v>
      </c>
      <c r="N70" t="s">
        <v>25</v>
      </c>
      <c r="Q70" s="11" t="s">
        <v>540</v>
      </c>
      <c r="R70" s="12" t="s">
        <v>281</v>
      </c>
      <c r="S70" s="13" t="s">
        <v>541</v>
      </c>
      <c r="T70" s="5">
        <v>2</v>
      </c>
      <c r="U70" s="11">
        <v>0.75090000000000001</v>
      </c>
      <c r="V70" s="13">
        <v>121.05070000000001</v>
      </c>
      <c r="W70" s="5" t="s">
        <v>542</v>
      </c>
    </row>
    <row r="71" spans="1:23">
      <c r="A71" t="s">
        <v>284</v>
      </c>
      <c r="B71" t="s">
        <v>285</v>
      </c>
      <c r="C71" t="s">
        <v>286</v>
      </c>
      <c r="D71" t="s">
        <v>127</v>
      </c>
      <c r="E71" t="s">
        <v>127</v>
      </c>
      <c r="F71" t="s">
        <v>284</v>
      </c>
      <c r="H71" t="s">
        <v>127</v>
      </c>
      <c r="K71">
        <v>1766</v>
      </c>
      <c r="L71" t="s">
        <v>252</v>
      </c>
      <c r="M71" t="s">
        <v>24</v>
      </c>
      <c r="N71" t="s">
        <v>25</v>
      </c>
      <c r="Q71" s="11" t="s">
        <v>543</v>
      </c>
      <c r="R71" s="12" t="s">
        <v>286</v>
      </c>
      <c r="S71" s="13" t="s">
        <v>286</v>
      </c>
      <c r="T71" s="5">
        <v>1</v>
      </c>
      <c r="U71" s="11">
        <v>1.1563000000000001</v>
      </c>
      <c r="V71" s="13">
        <v>453.40039999999999</v>
      </c>
      <c r="W71" s="5" t="s">
        <v>666</v>
      </c>
    </row>
    <row r="72" spans="1:23">
      <c r="A72" t="s">
        <v>287</v>
      </c>
      <c r="B72" t="s">
        <v>288</v>
      </c>
      <c r="C72" t="s">
        <v>289</v>
      </c>
      <c r="D72" t="s">
        <v>127</v>
      </c>
      <c r="E72" t="s">
        <v>127</v>
      </c>
      <c r="F72" t="s">
        <v>290</v>
      </c>
      <c r="H72" t="s">
        <v>127</v>
      </c>
      <c r="K72">
        <v>1687</v>
      </c>
      <c r="L72" t="s">
        <v>252</v>
      </c>
      <c r="M72" t="s">
        <v>24</v>
      </c>
      <c r="N72" t="s">
        <v>25</v>
      </c>
      <c r="Q72" s="11" t="s">
        <v>545</v>
      </c>
      <c r="R72" s="12" t="s">
        <v>289</v>
      </c>
      <c r="S72" s="13" t="s">
        <v>289</v>
      </c>
      <c r="T72" s="5">
        <v>1</v>
      </c>
      <c r="U72" s="11">
        <v>0.80069999999999997</v>
      </c>
      <c r="V72" s="13">
        <v>317.33879999999999</v>
      </c>
      <c r="W72" s="5" t="s">
        <v>667</v>
      </c>
    </row>
    <row r="73" spans="1:23">
      <c r="A73" t="s">
        <v>291</v>
      </c>
      <c r="B73" t="s">
        <v>292</v>
      </c>
      <c r="C73" t="s">
        <v>293</v>
      </c>
      <c r="D73" t="s">
        <v>19</v>
      </c>
      <c r="E73" t="s">
        <v>20</v>
      </c>
      <c r="F73" t="s">
        <v>291</v>
      </c>
      <c r="H73" t="s">
        <v>294</v>
      </c>
      <c r="K73" t="s">
        <v>295</v>
      </c>
      <c r="L73" t="s">
        <v>252</v>
      </c>
      <c r="M73" t="s">
        <v>24</v>
      </c>
      <c r="N73" t="s">
        <v>25</v>
      </c>
      <c r="Q73" s="11" t="s">
        <v>548</v>
      </c>
      <c r="R73" s="12" t="s">
        <v>293</v>
      </c>
      <c r="S73" s="13" t="s">
        <v>293</v>
      </c>
      <c r="T73" s="5">
        <v>1</v>
      </c>
      <c r="U73" s="11">
        <v>0.7843</v>
      </c>
      <c r="V73" s="13">
        <v>150.13409999999999</v>
      </c>
      <c r="W73" s="5" t="s">
        <v>668</v>
      </c>
    </row>
    <row r="74" spans="1:23">
      <c r="A74" t="s">
        <v>296</v>
      </c>
      <c r="B74" t="s">
        <v>297</v>
      </c>
      <c r="C74" t="s">
        <v>298</v>
      </c>
      <c r="D74" t="s">
        <v>19</v>
      </c>
      <c r="E74" t="s">
        <v>20</v>
      </c>
      <c r="F74" t="s">
        <v>299</v>
      </c>
      <c r="H74" t="s">
        <v>300</v>
      </c>
      <c r="K74" t="s">
        <v>301</v>
      </c>
      <c r="L74" t="s">
        <v>252</v>
      </c>
      <c r="M74" t="s">
        <v>24</v>
      </c>
      <c r="N74" t="s">
        <v>25</v>
      </c>
      <c r="Q74" s="11" t="s">
        <v>551</v>
      </c>
      <c r="R74" s="12" t="s">
        <v>298</v>
      </c>
      <c r="S74" s="13" t="s">
        <v>298</v>
      </c>
      <c r="T74" s="5">
        <v>1</v>
      </c>
      <c r="U74" s="11">
        <v>0.9919</v>
      </c>
      <c r="V74" s="13">
        <v>157.6876</v>
      </c>
      <c r="W74" s="5" t="s">
        <v>669</v>
      </c>
    </row>
    <row r="75" spans="1:23">
      <c r="A75" t="s">
        <v>302</v>
      </c>
      <c r="B75" t="s">
        <v>100</v>
      </c>
      <c r="C75" t="s">
        <v>303</v>
      </c>
      <c r="D75" t="s">
        <v>79</v>
      </c>
      <c r="E75" t="s">
        <v>79</v>
      </c>
      <c r="F75" t="s">
        <v>304</v>
      </c>
      <c r="H75" t="s">
        <v>82</v>
      </c>
      <c r="K75" t="s">
        <v>305</v>
      </c>
      <c r="L75" t="s">
        <v>252</v>
      </c>
      <c r="M75" t="s">
        <v>24</v>
      </c>
      <c r="N75" t="s">
        <v>25</v>
      </c>
      <c r="Q75" s="11" t="s">
        <v>553</v>
      </c>
      <c r="R75" s="12" t="s">
        <v>303</v>
      </c>
      <c r="S75" s="13" t="s">
        <v>670</v>
      </c>
      <c r="T75" s="5">
        <v>3</v>
      </c>
      <c r="U75" s="11">
        <v>0.86329999999999996</v>
      </c>
      <c r="V75" s="13">
        <v>249.63560000000001</v>
      </c>
      <c r="W75" s="5" t="s">
        <v>671</v>
      </c>
    </row>
    <row r="76" spans="1:23">
      <c r="A76" t="s">
        <v>306</v>
      </c>
      <c r="B76" t="s">
        <v>307</v>
      </c>
      <c r="C76" t="s">
        <v>308</v>
      </c>
      <c r="D76" t="s">
        <v>19</v>
      </c>
      <c r="E76" t="s">
        <v>20</v>
      </c>
      <c r="F76" t="s">
        <v>309</v>
      </c>
      <c r="H76" t="s">
        <v>310</v>
      </c>
      <c r="K76" t="s">
        <v>311</v>
      </c>
      <c r="L76" t="s">
        <v>252</v>
      </c>
      <c r="M76" t="s">
        <v>24</v>
      </c>
      <c r="N76" t="s">
        <v>25</v>
      </c>
      <c r="Q76" s="11" t="s">
        <v>556</v>
      </c>
      <c r="R76" s="12" t="s">
        <v>308</v>
      </c>
      <c r="S76" s="13" t="s">
        <v>308</v>
      </c>
      <c r="T76" s="5">
        <v>1</v>
      </c>
      <c r="U76" s="11">
        <v>0.94059999999999999</v>
      </c>
      <c r="V76" s="13">
        <v>113.2893</v>
      </c>
      <c r="W76" s="5" t="s">
        <v>672</v>
      </c>
    </row>
    <row r="77" spans="1:23">
      <c r="A77" t="s">
        <v>184</v>
      </c>
      <c r="B77" t="s">
        <v>185</v>
      </c>
      <c r="C77" t="s">
        <v>186</v>
      </c>
      <c r="D77" t="s">
        <v>19</v>
      </c>
      <c r="E77" t="s">
        <v>20</v>
      </c>
      <c r="F77" t="s">
        <v>185</v>
      </c>
      <c r="L77" t="s">
        <v>312</v>
      </c>
      <c r="M77" t="s">
        <v>24</v>
      </c>
      <c r="N77" t="s">
        <v>25</v>
      </c>
      <c r="Q77" s="11" t="s">
        <v>185</v>
      </c>
      <c r="R77" s="12" t="s">
        <v>186</v>
      </c>
      <c r="S77" s="13" t="s">
        <v>558</v>
      </c>
      <c r="T77" s="5">
        <v>2</v>
      </c>
      <c r="U77" s="11">
        <v>0.98360000000000003</v>
      </c>
      <c r="V77" s="13">
        <v>540.25519999999995</v>
      </c>
      <c r="W77" s="5" t="s">
        <v>559</v>
      </c>
    </row>
    <row r="78" spans="1:23">
      <c r="A78" t="s">
        <v>313</v>
      </c>
      <c r="B78" t="s">
        <v>221</v>
      </c>
      <c r="C78" t="s">
        <v>314</v>
      </c>
      <c r="D78" t="s">
        <v>127</v>
      </c>
      <c r="E78" t="s">
        <v>127</v>
      </c>
      <c r="F78" t="s">
        <v>221</v>
      </c>
      <c r="L78" t="s">
        <v>312</v>
      </c>
      <c r="M78" t="s">
        <v>24</v>
      </c>
      <c r="Q78" s="11" t="s">
        <v>221</v>
      </c>
      <c r="R78" s="12" t="s">
        <v>314</v>
      </c>
      <c r="S78" s="13" t="s">
        <v>222</v>
      </c>
      <c r="T78" s="5">
        <v>3</v>
      </c>
      <c r="U78" s="11">
        <v>1</v>
      </c>
      <c r="V78" s="13">
        <v>637.71500000000003</v>
      </c>
      <c r="W78" s="5" t="s">
        <v>673</v>
      </c>
    </row>
    <row r="79" spans="1:23">
      <c r="A79" t="s">
        <v>315</v>
      </c>
      <c r="B79" t="s">
        <v>316</v>
      </c>
      <c r="C79" t="s">
        <v>317</v>
      </c>
      <c r="D79" t="s">
        <v>44</v>
      </c>
      <c r="E79" t="s">
        <v>20</v>
      </c>
      <c r="F79" t="s">
        <v>316</v>
      </c>
      <c r="L79" t="s">
        <v>312</v>
      </c>
      <c r="M79" t="s">
        <v>24</v>
      </c>
      <c r="Q79" s="11" t="s">
        <v>316</v>
      </c>
      <c r="R79" s="12" t="s">
        <v>317</v>
      </c>
      <c r="S79" s="13" t="s">
        <v>317</v>
      </c>
      <c r="T79" s="5">
        <v>1</v>
      </c>
      <c r="U79" s="11">
        <v>1</v>
      </c>
      <c r="V79" s="13">
        <v>742.70299999999997</v>
      </c>
      <c r="W79" s="5" t="s">
        <v>674</v>
      </c>
    </row>
    <row r="80" spans="1:23">
      <c r="A80" t="s">
        <v>318</v>
      </c>
      <c r="B80" t="s">
        <v>316</v>
      </c>
      <c r="C80" t="s">
        <v>319</v>
      </c>
      <c r="D80" t="s">
        <v>127</v>
      </c>
      <c r="E80" t="s">
        <v>127</v>
      </c>
      <c r="F80" t="s">
        <v>316</v>
      </c>
      <c r="L80" t="s">
        <v>312</v>
      </c>
      <c r="M80" t="s">
        <v>24</v>
      </c>
      <c r="Q80" s="11" t="s">
        <v>316</v>
      </c>
      <c r="R80" s="12" t="s">
        <v>319</v>
      </c>
      <c r="S80" s="13" t="s">
        <v>317</v>
      </c>
      <c r="T80" s="5">
        <v>5</v>
      </c>
      <c r="U80" s="11">
        <v>1</v>
      </c>
      <c r="V80" s="13">
        <v>742.70299999999997</v>
      </c>
      <c r="W80" s="5" t="s">
        <v>674</v>
      </c>
    </row>
    <row r="81" spans="1:26">
      <c r="A81" t="s">
        <v>320</v>
      </c>
      <c r="B81" t="s">
        <v>321</v>
      </c>
      <c r="C81" t="s">
        <v>322</v>
      </c>
      <c r="D81" t="s">
        <v>127</v>
      </c>
      <c r="E81" t="s">
        <v>127</v>
      </c>
      <c r="F81" t="s">
        <v>321</v>
      </c>
      <c r="L81" t="s">
        <v>312</v>
      </c>
      <c r="M81" t="s">
        <v>24</v>
      </c>
      <c r="Q81" s="11" t="s">
        <v>321</v>
      </c>
      <c r="R81" s="12" t="s">
        <v>322</v>
      </c>
      <c r="S81" s="13" t="s">
        <v>675</v>
      </c>
      <c r="T81" s="5">
        <v>2</v>
      </c>
      <c r="U81" s="11">
        <v>1</v>
      </c>
      <c r="V81" s="13">
        <v>679.69889999999998</v>
      </c>
      <c r="W81" s="5" t="s">
        <v>676</v>
      </c>
    </row>
    <row r="82" spans="1:26">
      <c r="A82" t="s">
        <v>324</v>
      </c>
      <c r="B82" t="s">
        <v>148</v>
      </c>
      <c r="C82" t="s">
        <v>325</v>
      </c>
      <c r="D82" t="s">
        <v>79</v>
      </c>
      <c r="E82" t="s">
        <v>20</v>
      </c>
      <c r="F82" t="s">
        <v>148</v>
      </c>
      <c r="L82" t="s">
        <v>312</v>
      </c>
      <c r="M82" t="s">
        <v>24</v>
      </c>
      <c r="Q82" s="11" t="s">
        <v>148</v>
      </c>
      <c r="R82" s="12" t="s">
        <v>325</v>
      </c>
      <c r="S82" s="13" t="s">
        <v>325</v>
      </c>
      <c r="T82" s="5">
        <v>1</v>
      </c>
      <c r="U82" s="11">
        <v>0.89439999999999997</v>
      </c>
      <c r="V82" s="13">
        <v>304.70159999999998</v>
      </c>
      <c r="W82" s="5" t="s">
        <v>565</v>
      </c>
    </row>
    <row r="83" spans="1:26">
      <c r="A83" t="s">
        <v>326</v>
      </c>
      <c r="B83" t="s">
        <v>100</v>
      </c>
      <c r="C83" t="s">
        <v>101</v>
      </c>
      <c r="D83" t="s">
        <v>44</v>
      </c>
      <c r="E83" t="s">
        <v>20</v>
      </c>
      <c r="F83" t="s">
        <v>100</v>
      </c>
      <c r="L83" t="s">
        <v>312</v>
      </c>
      <c r="M83" t="s">
        <v>24</v>
      </c>
      <c r="Q83" s="11" t="s">
        <v>100</v>
      </c>
      <c r="R83" s="12" t="s">
        <v>101</v>
      </c>
      <c r="S83" s="13" t="s">
        <v>101</v>
      </c>
      <c r="T83" s="5">
        <v>1</v>
      </c>
      <c r="U83" s="11">
        <v>1</v>
      </c>
      <c r="V83" s="13">
        <v>794.69190000000003</v>
      </c>
      <c r="W83" s="5" t="s">
        <v>677</v>
      </c>
    </row>
    <row r="84" spans="1:26">
      <c r="A84" t="s">
        <v>199</v>
      </c>
      <c r="B84" t="s">
        <v>200</v>
      </c>
      <c r="C84" t="s">
        <v>201</v>
      </c>
      <c r="D84" t="s">
        <v>19</v>
      </c>
      <c r="E84" t="s">
        <v>20</v>
      </c>
      <c r="F84" t="s">
        <v>200</v>
      </c>
      <c r="L84" t="s">
        <v>312</v>
      </c>
      <c r="M84" t="s">
        <v>24</v>
      </c>
      <c r="Q84" s="11" t="s">
        <v>200</v>
      </c>
      <c r="R84" s="12" t="s">
        <v>201</v>
      </c>
      <c r="S84" s="13" t="s">
        <v>678</v>
      </c>
      <c r="T84" s="5">
        <v>3</v>
      </c>
      <c r="U84" s="11">
        <v>0.94010000000000005</v>
      </c>
      <c r="V84" s="13">
        <v>408.68029999999999</v>
      </c>
      <c r="W84" s="5" t="s">
        <v>679</v>
      </c>
    </row>
    <row r="85" spans="1:26">
      <c r="A85" t="s">
        <v>327</v>
      </c>
      <c r="B85" t="s">
        <v>328</v>
      </c>
      <c r="C85" t="s">
        <v>329</v>
      </c>
      <c r="D85" t="s">
        <v>127</v>
      </c>
      <c r="E85" t="s">
        <v>127</v>
      </c>
      <c r="F85" t="s">
        <v>328</v>
      </c>
      <c r="L85" t="s">
        <v>312</v>
      </c>
      <c r="M85" t="s">
        <v>24</v>
      </c>
      <c r="Q85" s="11" t="s">
        <v>328</v>
      </c>
      <c r="R85" s="12" t="s">
        <v>329</v>
      </c>
      <c r="S85" s="13" t="s">
        <v>569</v>
      </c>
      <c r="T85" s="5">
        <v>3</v>
      </c>
      <c r="U85" s="11">
        <v>0.98770000000000002</v>
      </c>
      <c r="V85" s="13">
        <v>554.40620000000001</v>
      </c>
      <c r="W85" s="5" t="s">
        <v>570</v>
      </c>
    </row>
    <row r="86" spans="1:26">
      <c r="A86" t="s">
        <v>330</v>
      </c>
      <c r="B86" t="s">
        <v>331</v>
      </c>
      <c r="C86" t="s">
        <v>332</v>
      </c>
      <c r="D86" t="s">
        <v>79</v>
      </c>
      <c r="E86" t="s">
        <v>20</v>
      </c>
      <c r="G86" t="s">
        <v>330</v>
      </c>
      <c r="L86" t="s">
        <v>334</v>
      </c>
      <c r="M86" t="s">
        <v>24</v>
      </c>
      <c r="Q86" s="11" t="s">
        <v>330</v>
      </c>
      <c r="R86" s="12" t="s">
        <v>332</v>
      </c>
      <c r="S86" s="13" t="s">
        <v>332</v>
      </c>
      <c r="T86" s="5">
        <v>1</v>
      </c>
      <c r="U86" s="11">
        <v>1.0711999999999999</v>
      </c>
      <c r="V86" s="13">
        <v>262.52339999999998</v>
      </c>
      <c r="W86" s="5" t="s">
        <v>680</v>
      </c>
    </row>
    <row r="87" spans="1:26">
      <c r="A87" t="s">
        <v>335</v>
      </c>
      <c r="B87" t="s">
        <v>335</v>
      </c>
      <c r="C87" t="s">
        <v>336</v>
      </c>
      <c r="D87" t="s">
        <v>79</v>
      </c>
      <c r="E87" t="s">
        <v>20</v>
      </c>
      <c r="G87" t="s">
        <v>338</v>
      </c>
      <c r="L87" t="s">
        <v>334</v>
      </c>
      <c r="M87" t="s">
        <v>24</v>
      </c>
      <c r="Q87" s="11" t="s">
        <v>338</v>
      </c>
      <c r="R87" s="12" t="s">
        <v>336</v>
      </c>
      <c r="S87" s="13" t="s">
        <v>681</v>
      </c>
      <c r="T87" s="5">
        <v>2</v>
      </c>
      <c r="U87" s="11">
        <v>1.0616000000000001</v>
      </c>
      <c r="V87" s="13">
        <v>246.8973</v>
      </c>
      <c r="W87" s="5" t="s">
        <v>682</v>
      </c>
    </row>
    <row r="88" spans="1:26">
      <c r="A88" t="s">
        <v>339</v>
      </c>
      <c r="B88" t="s">
        <v>340</v>
      </c>
      <c r="C88" t="s">
        <v>341</v>
      </c>
      <c r="D88" t="s">
        <v>127</v>
      </c>
      <c r="E88" t="s">
        <v>127</v>
      </c>
      <c r="G88" t="s">
        <v>342</v>
      </c>
      <c r="L88" t="s">
        <v>334</v>
      </c>
      <c r="M88" t="s">
        <v>24</v>
      </c>
      <c r="Q88" s="11" t="s">
        <v>342</v>
      </c>
      <c r="R88" s="12" t="s">
        <v>341</v>
      </c>
      <c r="S88" s="13" t="s">
        <v>341</v>
      </c>
      <c r="T88" s="5">
        <v>1</v>
      </c>
      <c r="U88" s="11">
        <v>1.2</v>
      </c>
      <c r="V88" s="13">
        <v>650.57100000000003</v>
      </c>
      <c r="W88" s="5" t="s">
        <v>341</v>
      </c>
    </row>
    <row r="89" spans="1:26">
      <c r="A89" t="s">
        <v>343</v>
      </c>
      <c r="B89" t="s">
        <v>344</v>
      </c>
      <c r="C89" t="s">
        <v>345</v>
      </c>
      <c r="D89" t="s">
        <v>19</v>
      </c>
      <c r="E89" t="s">
        <v>20</v>
      </c>
      <c r="G89" t="s">
        <v>347</v>
      </c>
      <c r="L89" t="s">
        <v>334</v>
      </c>
      <c r="M89" t="s">
        <v>24</v>
      </c>
      <c r="Q89" s="11" t="s">
        <v>347</v>
      </c>
      <c r="R89" s="12" t="s">
        <v>345</v>
      </c>
      <c r="S89" s="13" t="s">
        <v>574</v>
      </c>
      <c r="T89" s="5">
        <v>2</v>
      </c>
      <c r="U89" s="11">
        <v>0.97240000000000004</v>
      </c>
      <c r="V89" s="13">
        <v>139.12029999999999</v>
      </c>
      <c r="W89" s="5" t="s">
        <v>683</v>
      </c>
    </row>
    <row r="90" spans="1:26">
      <c r="A90" t="s">
        <v>348</v>
      </c>
      <c r="B90" t="s">
        <v>349</v>
      </c>
      <c r="C90" t="s">
        <v>350</v>
      </c>
      <c r="D90" t="s">
        <v>127</v>
      </c>
      <c r="E90" t="s">
        <v>127</v>
      </c>
      <c r="G90" t="s">
        <v>352</v>
      </c>
      <c r="L90" t="s">
        <v>334</v>
      </c>
      <c r="M90" t="s">
        <v>24</v>
      </c>
      <c r="Q90" s="11" t="s">
        <v>352</v>
      </c>
      <c r="R90" s="12" t="s">
        <v>350</v>
      </c>
      <c r="S90" s="13" t="s">
        <v>350</v>
      </c>
      <c r="T90" s="5">
        <v>1</v>
      </c>
      <c r="U90" s="11">
        <v>1.1600999999999999</v>
      </c>
      <c r="V90" s="13">
        <v>464.55399999999997</v>
      </c>
      <c r="W90" s="5" t="s">
        <v>684</v>
      </c>
    </row>
    <row r="91" spans="1:26">
      <c r="A91" t="s">
        <v>353</v>
      </c>
      <c r="B91" t="s">
        <v>241</v>
      </c>
      <c r="C91" t="s">
        <v>242</v>
      </c>
      <c r="D91" t="s">
        <v>19</v>
      </c>
      <c r="E91" t="s">
        <v>20</v>
      </c>
      <c r="G91" t="s">
        <v>355</v>
      </c>
      <c r="L91" t="s">
        <v>334</v>
      </c>
      <c r="M91" t="s">
        <v>24</v>
      </c>
      <c r="Q91" s="11" t="s">
        <v>355</v>
      </c>
      <c r="R91" s="12" t="s">
        <v>242</v>
      </c>
      <c r="S91" s="13" t="s">
        <v>242</v>
      </c>
      <c r="T91" s="5">
        <v>1</v>
      </c>
      <c r="U91" s="11">
        <v>0.98609999999999998</v>
      </c>
      <c r="V91" s="13">
        <v>151.96940000000001</v>
      </c>
      <c r="W91" s="5" t="s">
        <v>685</v>
      </c>
    </row>
    <row r="92" spans="1:26">
      <c r="A92" s="2" t="s">
        <v>356</v>
      </c>
      <c r="B92" s="2" t="s">
        <v>266</v>
      </c>
      <c r="C92" s="2" t="s">
        <v>357</v>
      </c>
      <c r="D92" s="2" t="s">
        <v>79</v>
      </c>
      <c r="E92" s="2" t="s">
        <v>20</v>
      </c>
      <c r="F92" s="2"/>
      <c r="G92" s="2" t="s">
        <v>358</v>
      </c>
      <c r="H92" s="2"/>
      <c r="I92" s="2"/>
      <c r="J92" s="2"/>
      <c r="K92" s="2"/>
      <c r="L92" s="2" t="s">
        <v>334</v>
      </c>
      <c r="M92" s="2" t="s">
        <v>24</v>
      </c>
      <c r="N92" s="2"/>
      <c r="O92" s="2"/>
      <c r="P92" s="2"/>
      <c r="Q92" s="11" t="s">
        <v>358</v>
      </c>
      <c r="R92" s="12" t="s">
        <v>357</v>
      </c>
      <c r="S92" s="13"/>
      <c r="T92" s="5"/>
      <c r="U92" s="11"/>
      <c r="V92" s="13"/>
      <c r="W92" s="5" t="s">
        <v>579</v>
      </c>
      <c r="X92" s="2"/>
      <c r="Y92" s="2"/>
      <c r="Z92" s="2"/>
    </row>
    <row r="93" spans="1:26">
      <c r="A93" t="s">
        <v>359</v>
      </c>
      <c r="B93" t="s">
        <v>360</v>
      </c>
      <c r="C93" t="s">
        <v>361</v>
      </c>
      <c r="D93" t="s">
        <v>127</v>
      </c>
      <c r="E93" t="s">
        <v>127</v>
      </c>
      <c r="G93" t="s">
        <v>363</v>
      </c>
      <c r="L93" t="s">
        <v>334</v>
      </c>
      <c r="M93" t="s">
        <v>24</v>
      </c>
      <c r="Q93" s="11" t="s">
        <v>363</v>
      </c>
      <c r="R93" s="12" t="s">
        <v>361</v>
      </c>
      <c r="S93" s="13" t="s">
        <v>361</v>
      </c>
      <c r="T93" s="5">
        <v>1</v>
      </c>
      <c r="U93" s="11">
        <v>1.1480999999999999</v>
      </c>
      <c r="V93" s="13">
        <v>430.03890000000001</v>
      </c>
      <c r="W93" s="5" t="s">
        <v>580</v>
      </c>
    </row>
    <row r="94" spans="1:26">
      <c r="A94" t="s">
        <v>364</v>
      </c>
      <c r="B94" t="s">
        <v>365</v>
      </c>
      <c r="C94" t="s">
        <v>366</v>
      </c>
      <c r="D94" t="s">
        <v>19</v>
      </c>
      <c r="E94" t="s">
        <v>20</v>
      </c>
      <c r="G94" t="s">
        <v>368</v>
      </c>
      <c r="L94" t="s">
        <v>334</v>
      </c>
      <c r="M94" t="s">
        <v>24</v>
      </c>
      <c r="Q94" s="11" t="s">
        <v>368</v>
      </c>
      <c r="R94" s="12" t="s">
        <v>366</v>
      </c>
      <c r="S94" s="13" t="s">
        <v>581</v>
      </c>
      <c r="T94" s="5">
        <v>5</v>
      </c>
      <c r="U94" s="11">
        <v>0.93149999999999999</v>
      </c>
      <c r="V94" s="13">
        <v>106.8295</v>
      </c>
      <c r="W94" s="5" t="s">
        <v>686</v>
      </c>
    </row>
    <row r="95" spans="1:26">
      <c r="A95" t="s">
        <v>37</v>
      </c>
      <c r="B95" t="s">
        <v>38</v>
      </c>
      <c r="C95" t="s">
        <v>369</v>
      </c>
      <c r="D95" t="s">
        <v>127</v>
      </c>
      <c r="E95" t="s">
        <v>127</v>
      </c>
      <c r="G95" t="s">
        <v>371</v>
      </c>
      <c r="L95" t="s">
        <v>372</v>
      </c>
      <c r="M95" t="s">
        <v>24</v>
      </c>
      <c r="O95">
        <v>483</v>
      </c>
      <c r="P95">
        <v>487</v>
      </c>
      <c r="Q95" s="11" t="s">
        <v>371</v>
      </c>
      <c r="R95" s="12" t="s">
        <v>369</v>
      </c>
      <c r="S95" s="13" t="s">
        <v>369</v>
      </c>
      <c r="T95" s="5">
        <v>1</v>
      </c>
      <c r="U95" s="11">
        <v>1.0586</v>
      </c>
      <c r="V95" s="13">
        <v>242.18989999999999</v>
      </c>
      <c r="W95" s="5" t="s">
        <v>687</v>
      </c>
    </row>
    <row r="96" spans="1:26">
      <c r="A96" t="s">
        <v>373</v>
      </c>
      <c r="B96" t="s">
        <v>271</v>
      </c>
      <c r="C96" t="s">
        <v>374</v>
      </c>
      <c r="D96" t="s">
        <v>127</v>
      </c>
      <c r="E96" t="s">
        <v>127</v>
      </c>
      <c r="G96" t="s">
        <v>375</v>
      </c>
      <c r="L96" t="s">
        <v>372</v>
      </c>
      <c r="M96" t="s">
        <v>24</v>
      </c>
      <c r="O96">
        <v>483</v>
      </c>
      <c r="P96">
        <v>487</v>
      </c>
      <c r="Q96" s="11" t="s">
        <v>375</v>
      </c>
      <c r="R96" s="12" t="s">
        <v>374</v>
      </c>
      <c r="S96" s="13" t="s">
        <v>374</v>
      </c>
      <c r="T96" s="5">
        <v>1</v>
      </c>
      <c r="U96" s="11">
        <v>1.1554</v>
      </c>
      <c r="V96" s="13">
        <v>450.76530000000002</v>
      </c>
      <c r="W96" s="5" t="s">
        <v>688</v>
      </c>
    </row>
    <row r="97" spans="1:23">
      <c r="A97" t="s">
        <v>376</v>
      </c>
      <c r="B97" t="s">
        <v>377</v>
      </c>
      <c r="C97" t="s">
        <v>378</v>
      </c>
      <c r="D97" t="s">
        <v>379</v>
      </c>
      <c r="E97" t="s">
        <v>379</v>
      </c>
      <c r="G97" t="s">
        <v>381</v>
      </c>
      <c r="L97" t="s">
        <v>372</v>
      </c>
      <c r="M97" t="s">
        <v>24</v>
      </c>
      <c r="O97">
        <v>483</v>
      </c>
      <c r="P97">
        <v>487</v>
      </c>
      <c r="Q97" s="11" t="s">
        <v>381</v>
      </c>
      <c r="R97" s="12" t="s">
        <v>378</v>
      </c>
      <c r="S97" s="13" t="s">
        <v>689</v>
      </c>
      <c r="T97" s="5">
        <v>3</v>
      </c>
      <c r="U97" s="11">
        <v>0.72829999999999995</v>
      </c>
      <c r="V97" s="13">
        <v>28.376200000000001</v>
      </c>
      <c r="W97" s="5" t="s">
        <v>690</v>
      </c>
    </row>
    <row r="98" spans="1:23">
      <c r="A98" t="s">
        <v>382</v>
      </c>
      <c r="B98" t="s">
        <v>383</v>
      </c>
      <c r="C98" t="s">
        <v>384</v>
      </c>
      <c r="D98" t="s">
        <v>127</v>
      </c>
      <c r="E98" t="s">
        <v>127</v>
      </c>
      <c r="G98" t="s">
        <v>386</v>
      </c>
      <c r="L98" t="s">
        <v>372</v>
      </c>
      <c r="M98" t="s">
        <v>24</v>
      </c>
      <c r="O98">
        <v>483</v>
      </c>
      <c r="P98">
        <v>487</v>
      </c>
      <c r="Q98" s="11" t="s">
        <v>386</v>
      </c>
      <c r="R98" s="12" t="s">
        <v>384</v>
      </c>
      <c r="S98" s="13" t="s">
        <v>384</v>
      </c>
      <c r="T98" s="5">
        <v>1</v>
      </c>
      <c r="U98" s="11">
        <v>1.1478999999999999</v>
      </c>
      <c r="V98" s="13">
        <v>429.6121</v>
      </c>
      <c r="W98" s="5" t="s">
        <v>691</v>
      </c>
    </row>
    <row r="99" spans="1:23">
      <c r="A99" t="s">
        <v>382</v>
      </c>
      <c r="B99" t="s">
        <v>383</v>
      </c>
      <c r="C99" t="s">
        <v>384</v>
      </c>
      <c r="D99" t="s">
        <v>127</v>
      </c>
      <c r="E99" t="s">
        <v>127</v>
      </c>
      <c r="G99" t="s">
        <v>387</v>
      </c>
      <c r="L99" t="s">
        <v>372</v>
      </c>
      <c r="M99" t="s">
        <v>24</v>
      </c>
      <c r="O99">
        <v>483</v>
      </c>
      <c r="P99">
        <v>487</v>
      </c>
      <c r="Q99" s="11" t="s">
        <v>387</v>
      </c>
      <c r="R99" s="12" t="s">
        <v>384</v>
      </c>
      <c r="S99" s="13" t="s">
        <v>384</v>
      </c>
      <c r="T99" s="5">
        <v>1</v>
      </c>
      <c r="U99" s="11">
        <v>1.1478999999999999</v>
      </c>
      <c r="V99" s="13">
        <v>429.6121</v>
      </c>
      <c r="W99" s="5" t="s">
        <v>691</v>
      </c>
    </row>
    <row r="100" spans="1:23">
      <c r="A100" t="s">
        <v>388</v>
      </c>
      <c r="B100" t="s">
        <v>389</v>
      </c>
      <c r="C100" t="s">
        <v>390</v>
      </c>
      <c r="D100" t="s">
        <v>127</v>
      </c>
      <c r="E100" t="s">
        <v>127</v>
      </c>
      <c r="G100" t="s">
        <v>392</v>
      </c>
      <c r="L100" t="s">
        <v>372</v>
      </c>
      <c r="M100" t="s">
        <v>24</v>
      </c>
      <c r="O100">
        <v>483</v>
      </c>
      <c r="P100">
        <v>487</v>
      </c>
      <c r="Q100" s="11" t="s">
        <v>392</v>
      </c>
      <c r="R100" s="12" t="s">
        <v>390</v>
      </c>
      <c r="S100" s="13" t="s">
        <v>390</v>
      </c>
      <c r="T100" s="5">
        <v>1</v>
      </c>
      <c r="U100" s="11">
        <v>1.1003000000000001</v>
      </c>
      <c r="V100" s="13">
        <v>316.58280000000002</v>
      </c>
      <c r="W100" s="5" t="s">
        <v>692</v>
      </c>
    </row>
    <row r="101" spans="1:23">
      <c r="A101" t="s">
        <v>348</v>
      </c>
      <c r="B101" t="s">
        <v>349</v>
      </c>
      <c r="C101" t="s">
        <v>350</v>
      </c>
      <c r="D101" t="s">
        <v>127</v>
      </c>
      <c r="E101" t="s">
        <v>127</v>
      </c>
      <c r="G101" t="s">
        <v>352</v>
      </c>
      <c r="L101" t="s">
        <v>372</v>
      </c>
      <c r="M101" t="s">
        <v>24</v>
      </c>
      <c r="O101">
        <v>483</v>
      </c>
      <c r="P101">
        <v>487</v>
      </c>
      <c r="Q101" s="11" t="s">
        <v>352</v>
      </c>
      <c r="R101" s="12" t="s">
        <v>350</v>
      </c>
      <c r="S101" s="13" t="s">
        <v>350</v>
      </c>
      <c r="T101" s="5">
        <v>1</v>
      </c>
      <c r="U101" s="11">
        <v>1.1600999999999999</v>
      </c>
      <c r="V101" s="13">
        <v>464.55399999999997</v>
      </c>
      <c r="W101" s="5" t="s">
        <v>684</v>
      </c>
    </row>
    <row r="102" spans="1:23">
      <c r="A102" t="s">
        <v>393</v>
      </c>
      <c r="B102" t="s">
        <v>344</v>
      </c>
      <c r="C102" t="s">
        <v>394</v>
      </c>
      <c r="D102" t="s">
        <v>127</v>
      </c>
      <c r="E102" t="s">
        <v>127</v>
      </c>
      <c r="G102" t="s">
        <v>395</v>
      </c>
      <c r="L102" t="s">
        <v>372</v>
      </c>
      <c r="M102" t="s">
        <v>24</v>
      </c>
      <c r="O102">
        <v>483</v>
      </c>
      <c r="P102">
        <v>487</v>
      </c>
      <c r="Q102" s="11" t="s">
        <v>395</v>
      </c>
      <c r="R102" s="12" t="s">
        <v>394</v>
      </c>
      <c r="S102" s="13" t="s">
        <v>394</v>
      </c>
      <c r="T102" s="5">
        <v>1</v>
      </c>
      <c r="U102" s="11">
        <v>1.1221000000000001</v>
      </c>
      <c r="V102" s="13">
        <v>364.05309999999997</v>
      </c>
      <c r="W102" s="5" t="s">
        <v>693</v>
      </c>
    </row>
    <row r="103" spans="1:23">
      <c r="A103" t="s">
        <v>396</v>
      </c>
      <c r="B103" t="s">
        <v>397</v>
      </c>
      <c r="C103" t="s">
        <v>398</v>
      </c>
      <c r="D103" t="s">
        <v>127</v>
      </c>
      <c r="E103" t="s">
        <v>127</v>
      </c>
      <c r="G103" t="s">
        <v>400</v>
      </c>
      <c r="L103" t="s">
        <v>372</v>
      </c>
      <c r="M103" t="s">
        <v>24</v>
      </c>
      <c r="O103">
        <v>483</v>
      </c>
      <c r="P103">
        <v>487</v>
      </c>
      <c r="Q103" s="11" t="s">
        <v>400</v>
      </c>
      <c r="R103" s="12" t="s">
        <v>398</v>
      </c>
      <c r="S103" s="13" t="s">
        <v>398</v>
      </c>
      <c r="T103" s="5">
        <v>1</v>
      </c>
      <c r="U103" s="11">
        <v>1.0214000000000001</v>
      </c>
      <c r="V103" s="13">
        <v>190.62819999999999</v>
      </c>
      <c r="W103" s="5" t="s">
        <v>694</v>
      </c>
    </row>
    <row r="104" spans="1:23">
      <c r="A104" t="s">
        <v>401</v>
      </c>
      <c r="B104" t="s">
        <v>397</v>
      </c>
      <c r="C104" t="s">
        <v>402</v>
      </c>
      <c r="D104" t="s">
        <v>379</v>
      </c>
      <c r="E104" t="s">
        <v>379</v>
      </c>
      <c r="G104" t="s">
        <v>403</v>
      </c>
      <c r="L104" t="s">
        <v>372</v>
      </c>
      <c r="M104" t="s">
        <v>24</v>
      </c>
      <c r="O104">
        <v>483</v>
      </c>
      <c r="P104">
        <v>487</v>
      </c>
      <c r="Q104" s="11" t="s">
        <v>403</v>
      </c>
      <c r="R104" s="12" t="s">
        <v>402</v>
      </c>
      <c r="S104" s="13" t="s">
        <v>398</v>
      </c>
      <c r="T104" s="5">
        <v>2</v>
      </c>
      <c r="U104" s="11">
        <v>1.0214000000000001</v>
      </c>
      <c r="V104" s="13">
        <v>190.62819999999999</v>
      </c>
      <c r="W104" s="5" t="s">
        <v>694</v>
      </c>
    </row>
    <row r="105" spans="1:23">
      <c r="A105" t="s">
        <v>404</v>
      </c>
      <c r="B105" t="s">
        <v>405</v>
      </c>
      <c r="C105" t="s">
        <v>406</v>
      </c>
      <c r="D105" t="s">
        <v>127</v>
      </c>
      <c r="E105" t="s">
        <v>127</v>
      </c>
      <c r="G105" t="s">
        <v>404</v>
      </c>
      <c r="L105" t="s">
        <v>372</v>
      </c>
      <c r="M105" t="s">
        <v>24</v>
      </c>
      <c r="O105">
        <v>483</v>
      </c>
      <c r="P105">
        <v>487</v>
      </c>
      <c r="Q105" s="11" t="s">
        <v>404</v>
      </c>
      <c r="R105" s="12" t="s">
        <v>406</v>
      </c>
      <c r="S105" s="13" t="s">
        <v>406</v>
      </c>
      <c r="T105" s="5">
        <v>1</v>
      </c>
      <c r="U105" s="11">
        <v>1.0645</v>
      </c>
      <c r="V105" s="13">
        <v>251.57</v>
      </c>
      <c r="W105" s="5" t="s">
        <v>695</v>
      </c>
    </row>
    <row r="106" spans="1:23">
      <c r="A106" t="s">
        <v>408</v>
      </c>
      <c r="B106" t="s">
        <v>405</v>
      </c>
      <c r="C106" t="s">
        <v>409</v>
      </c>
      <c r="D106" t="s">
        <v>379</v>
      </c>
      <c r="E106" t="s">
        <v>379</v>
      </c>
      <c r="G106" t="s">
        <v>408</v>
      </c>
      <c r="L106" t="s">
        <v>372</v>
      </c>
      <c r="M106" t="s">
        <v>24</v>
      </c>
      <c r="O106">
        <v>483</v>
      </c>
      <c r="P106">
        <v>487</v>
      </c>
      <c r="Q106" s="11" t="s">
        <v>408</v>
      </c>
      <c r="R106" s="12" t="s">
        <v>409</v>
      </c>
      <c r="S106" s="13" t="s">
        <v>406</v>
      </c>
      <c r="T106" s="5">
        <v>2</v>
      </c>
      <c r="U106" s="11">
        <v>1.0645</v>
      </c>
      <c r="V106" s="13">
        <v>251.57</v>
      </c>
      <c r="W106" s="5" t="s">
        <v>695</v>
      </c>
    </row>
    <row r="107" spans="1:23">
      <c r="A107" t="s">
        <v>410</v>
      </c>
      <c r="B107" t="s">
        <v>595</v>
      </c>
      <c r="C107" t="s">
        <v>411</v>
      </c>
      <c r="D107" t="s">
        <v>127</v>
      </c>
      <c r="E107" t="s">
        <v>127</v>
      </c>
      <c r="G107" t="s">
        <v>412</v>
      </c>
      <c r="L107" t="s">
        <v>372</v>
      </c>
      <c r="M107" t="s">
        <v>24</v>
      </c>
      <c r="O107">
        <v>483</v>
      </c>
      <c r="P107">
        <v>487</v>
      </c>
      <c r="Q107" s="11" t="s">
        <v>412</v>
      </c>
      <c r="R107" s="12" t="s">
        <v>411</v>
      </c>
      <c r="S107" s="13" t="s">
        <v>411</v>
      </c>
      <c r="T107" s="5">
        <v>1</v>
      </c>
      <c r="U107" s="11">
        <v>1.1469</v>
      </c>
      <c r="V107" s="13">
        <v>426.74470000000002</v>
      </c>
      <c r="W107" s="5" t="s">
        <v>596</v>
      </c>
    </row>
    <row r="108" spans="1:23">
      <c r="A108" t="s">
        <v>413</v>
      </c>
      <c r="B108" t="s">
        <v>331</v>
      </c>
      <c r="C108" t="s">
        <v>414</v>
      </c>
      <c r="D108" t="s">
        <v>127</v>
      </c>
      <c r="E108" t="s">
        <v>127</v>
      </c>
      <c r="G108" t="s">
        <v>415</v>
      </c>
      <c r="L108" t="s">
        <v>372</v>
      </c>
      <c r="M108" t="s">
        <v>24</v>
      </c>
      <c r="O108">
        <v>483</v>
      </c>
      <c r="P108">
        <v>487</v>
      </c>
      <c r="Q108" s="14" t="s">
        <v>415</v>
      </c>
      <c r="R108" s="15" t="s">
        <v>414</v>
      </c>
      <c r="S108" s="16" t="s">
        <v>414</v>
      </c>
      <c r="T108" s="7">
        <v>1</v>
      </c>
      <c r="U108" s="14">
        <v>1.1037999999999999</v>
      </c>
      <c r="V108" s="16">
        <v>323.7765</v>
      </c>
      <c r="W108" s="7" t="s">
        <v>696</v>
      </c>
    </row>
  </sheetData>
  <mergeCells count="3">
    <mergeCell ref="A8:E8"/>
    <mergeCell ref="F8:L8"/>
    <mergeCell ref="Q8:Z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8406-58FD-4A4B-BD54-40FA7E886935}">
  <dimension ref="A1:J110"/>
  <sheetViews>
    <sheetView workbookViewId="0">
      <selection activeCell="F7" sqref="F7"/>
    </sheetView>
  </sheetViews>
  <sheetFormatPr defaultRowHeight="15"/>
  <cols>
    <col min="1" max="1" width="26.140625" customWidth="1"/>
    <col min="2" max="3" width="22.5703125" customWidth="1"/>
  </cols>
  <sheetData>
    <row r="1" spans="1:10">
      <c r="A1" t="s">
        <v>423</v>
      </c>
    </row>
    <row r="2" spans="1:10">
      <c r="A2" t="s">
        <v>425</v>
      </c>
    </row>
    <row r="3" spans="1:10">
      <c r="A3" t="s">
        <v>416</v>
      </c>
      <c r="B3" t="s">
        <v>697</v>
      </c>
    </row>
    <row r="4" spans="1:10">
      <c r="A4" t="s">
        <v>427</v>
      </c>
    </row>
    <row r="5" spans="1:10">
      <c r="A5" t="s">
        <v>428</v>
      </c>
    </row>
    <row r="11" spans="1:10">
      <c r="A11" s="19" t="s">
        <v>698</v>
      </c>
      <c r="B11" s="20" t="s">
        <v>699</v>
      </c>
      <c r="C11" s="20" t="s">
        <v>700</v>
      </c>
      <c r="D11" s="20" t="s">
        <v>701</v>
      </c>
      <c r="E11" s="20" t="s">
        <v>702</v>
      </c>
      <c r="F11" s="20" t="s">
        <v>703</v>
      </c>
      <c r="G11" s="20" t="s">
        <v>704</v>
      </c>
      <c r="H11" s="20" t="s">
        <v>705</v>
      </c>
      <c r="I11" s="20" t="s">
        <v>706</v>
      </c>
      <c r="J11" s="20" t="s">
        <v>707</v>
      </c>
    </row>
    <row r="12" spans="1:10">
      <c r="A12" s="11" t="s">
        <v>21</v>
      </c>
      <c r="B12" s="12" t="s">
        <v>18</v>
      </c>
      <c r="C12" s="12" t="s">
        <v>18</v>
      </c>
      <c r="D12" s="12">
        <v>1.0557000000000001</v>
      </c>
      <c r="E12" s="12">
        <v>237.696</v>
      </c>
      <c r="F12" s="12" t="s">
        <v>708</v>
      </c>
      <c r="G12" s="12">
        <v>1</v>
      </c>
      <c r="H12" s="12" t="b">
        <v>1</v>
      </c>
      <c r="I12" s="12" t="b">
        <v>1</v>
      </c>
      <c r="J12" s="13" t="b">
        <v>1</v>
      </c>
    </row>
    <row r="13" spans="1:10">
      <c r="A13" s="11" t="s">
        <v>30</v>
      </c>
      <c r="B13" s="12" t="s">
        <v>28</v>
      </c>
      <c r="C13" s="12" t="s">
        <v>28</v>
      </c>
      <c r="D13" s="12">
        <v>0.8821</v>
      </c>
      <c r="E13" s="12">
        <v>281.66609999999997</v>
      </c>
      <c r="F13" s="12" t="s">
        <v>610</v>
      </c>
      <c r="G13" s="12">
        <v>1</v>
      </c>
      <c r="H13" s="12" t="b">
        <v>1</v>
      </c>
      <c r="I13" s="12" t="b">
        <v>1</v>
      </c>
      <c r="J13" s="13" t="b">
        <v>1</v>
      </c>
    </row>
    <row r="14" spans="1:10">
      <c r="A14" s="11" t="s">
        <v>35</v>
      </c>
      <c r="B14" s="12" t="s">
        <v>34</v>
      </c>
      <c r="C14" s="12" t="s">
        <v>34</v>
      </c>
      <c r="D14" s="12">
        <v>1.095</v>
      </c>
      <c r="E14" s="12">
        <v>305.87869999999998</v>
      </c>
      <c r="F14" s="12" t="s">
        <v>709</v>
      </c>
      <c r="G14" s="12">
        <v>1</v>
      </c>
      <c r="H14" s="12" t="b">
        <v>1</v>
      </c>
      <c r="I14" s="12" t="b">
        <v>1</v>
      </c>
      <c r="J14" s="13" t="b">
        <v>1</v>
      </c>
    </row>
    <row r="15" spans="1:10">
      <c r="A15" s="11" t="s">
        <v>446</v>
      </c>
      <c r="B15" s="12" t="s">
        <v>39</v>
      </c>
      <c r="C15" s="12" t="s">
        <v>39</v>
      </c>
      <c r="D15" s="12">
        <v>1.1853</v>
      </c>
      <c r="E15" s="12">
        <v>546.13599999999997</v>
      </c>
      <c r="F15" s="12" t="s">
        <v>612</v>
      </c>
      <c r="G15" s="12">
        <v>1</v>
      </c>
      <c r="H15" s="12" t="b">
        <v>1</v>
      </c>
      <c r="I15" s="12" t="b">
        <v>1</v>
      </c>
      <c r="J15" s="13" t="b">
        <v>1</v>
      </c>
    </row>
    <row r="16" spans="1:10">
      <c r="A16" s="11" t="s">
        <v>46</v>
      </c>
      <c r="B16" s="12" t="s">
        <v>43</v>
      </c>
      <c r="C16" s="12" t="s">
        <v>43</v>
      </c>
      <c r="D16" s="12">
        <v>1.1202000000000001</v>
      </c>
      <c r="E16" s="12">
        <v>189.24010000000001</v>
      </c>
      <c r="F16" s="12" t="s">
        <v>710</v>
      </c>
      <c r="G16" s="12">
        <v>1</v>
      </c>
      <c r="H16" s="12" t="b">
        <v>1</v>
      </c>
      <c r="I16" s="12" t="b">
        <v>1</v>
      </c>
      <c r="J16" s="13" t="b">
        <v>1</v>
      </c>
    </row>
    <row r="17" spans="1:10">
      <c r="A17" s="11" t="s">
        <v>51</v>
      </c>
      <c r="B17" s="12" t="s">
        <v>50</v>
      </c>
      <c r="C17" s="12" t="s">
        <v>50</v>
      </c>
      <c r="D17" s="12">
        <v>1.0456000000000001</v>
      </c>
      <c r="E17" s="12">
        <v>222.84280000000001</v>
      </c>
      <c r="F17" s="12" t="s">
        <v>711</v>
      </c>
      <c r="G17" s="12">
        <v>1</v>
      </c>
      <c r="H17" s="12" t="b">
        <v>1</v>
      </c>
      <c r="I17" s="12" t="b">
        <v>1</v>
      </c>
      <c r="J17" s="13" t="b">
        <v>1</v>
      </c>
    </row>
    <row r="18" spans="1:10">
      <c r="A18" s="11" t="s">
        <v>450</v>
      </c>
      <c r="B18" s="12" t="s">
        <v>55</v>
      </c>
      <c r="C18" s="12" t="s">
        <v>55</v>
      </c>
      <c r="D18" s="12">
        <v>1.0136000000000001</v>
      </c>
      <c r="E18" s="12">
        <v>181.3441</v>
      </c>
      <c r="F18" s="12" t="s">
        <v>712</v>
      </c>
      <c r="G18" s="12">
        <v>1</v>
      </c>
      <c r="H18" s="12" t="b">
        <v>1</v>
      </c>
      <c r="I18" s="12" t="b">
        <v>1</v>
      </c>
      <c r="J18" s="13" t="b">
        <v>1</v>
      </c>
    </row>
    <row r="19" spans="1:10">
      <c r="A19" s="11" t="s">
        <v>62</v>
      </c>
      <c r="B19" s="12" t="s">
        <v>60</v>
      </c>
      <c r="C19" s="12" t="s">
        <v>60</v>
      </c>
      <c r="D19" s="12">
        <v>1.1987000000000001</v>
      </c>
      <c r="E19" s="12">
        <v>313.40249999999997</v>
      </c>
      <c r="F19" s="12" t="s">
        <v>713</v>
      </c>
      <c r="G19" s="12">
        <v>1</v>
      </c>
      <c r="H19" s="12" t="b">
        <v>1</v>
      </c>
      <c r="I19" s="12" t="b">
        <v>1</v>
      </c>
      <c r="J19" s="13" t="b">
        <v>1</v>
      </c>
    </row>
    <row r="20" spans="1:10">
      <c r="A20" s="11" t="s">
        <v>67</v>
      </c>
      <c r="B20" s="12" t="s">
        <v>65</v>
      </c>
      <c r="C20" s="12" t="s">
        <v>65</v>
      </c>
      <c r="D20" s="12">
        <v>1.1639999999999999</v>
      </c>
      <c r="E20" s="12">
        <v>476.32100000000003</v>
      </c>
      <c r="F20" s="12" t="s">
        <v>616</v>
      </c>
      <c r="G20" s="12">
        <v>1</v>
      </c>
      <c r="H20" s="12" t="b">
        <v>1</v>
      </c>
      <c r="I20" s="12" t="b">
        <v>1</v>
      </c>
      <c r="J20" s="13" t="b">
        <v>1</v>
      </c>
    </row>
    <row r="21" spans="1:10">
      <c r="A21" s="11" t="s">
        <v>72</v>
      </c>
      <c r="B21" s="12" t="s">
        <v>70</v>
      </c>
      <c r="C21" s="12" t="s">
        <v>70</v>
      </c>
      <c r="D21" s="12">
        <v>0.98399999999999999</v>
      </c>
      <c r="E21" s="12">
        <v>149.9033</v>
      </c>
      <c r="F21" s="12" t="s">
        <v>714</v>
      </c>
      <c r="G21" s="12">
        <v>1</v>
      </c>
      <c r="H21" s="12" t="b">
        <v>1</v>
      </c>
      <c r="I21" s="12" t="b">
        <v>1</v>
      </c>
      <c r="J21" s="13" t="b">
        <v>1</v>
      </c>
    </row>
    <row r="22" spans="1:10">
      <c r="A22" s="11" t="s">
        <v>618</v>
      </c>
      <c r="B22" s="12" t="s">
        <v>619</v>
      </c>
      <c r="C22" s="12" t="s">
        <v>70</v>
      </c>
      <c r="D22" s="12">
        <v>1.0411999999999999</v>
      </c>
      <c r="E22" s="12">
        <v>216.63229999999999</v>
      </c>
      <c r="F22" s="12" t="s">
        <v>715</v>
      </c>
      <c r="G22" s="12"/>
      <c r="H22" s="12" t="b">
        <v>1</v>
      </c>
      <c r="I22" s="12" t="b">
        <v>0</v>
      </c>
      <c r="J22" s="13" t="b">
        <v>0</v>
      </c>
    </row>
    <row r="23" spans="1:10">
      <c r="A23" s="11" t="s">
        <v>81</v>
      </c>
      <c r="B23" s="12" t="s">
        <v>78</v>
      </c>
      <c r="C23" s="12" t="s">
        <v>78</v>
      </c>
      <c r="D23" s="12">
        <v>1.0576000000000001</v>
      </c>
      <c r="E23" s="12">
        <v>240.6069</v>
      </c>
      <c r="F23" s="12" t="s">
        <v>458</v>
      </c>
      <c r="G23" s="12">
        <v>1</v>
      </c>
      <c r="H23" s="12" t="b">
        <v>1</v>
      </c>
      <c r="I23" s="12" t="b">
        <v>1</v>
      </c>
      <c r="J23" s="13" t="b">
        <v>1</v>
      </c>
    </row>
    <row r="24" spans="1:10">
      <c r="A24" s="11" t="s">
        <v>87</v>
      </c>
      <c r="B24" s="12" t="s">
        <v>85</v>
      </c>
      <c r="C24" s="12" t="s">
        <v>85</v>
      </c>
      <c r="D24" s="12">
        <v>0.90539999999999998</v>
      </c>
      <c r="E24" s="12">
        <v>90.219399999999993</v>
      </c>
      <c r="F24" s="12" t="s">
        <v>716</v>
      </c>
      <c r="G24" s="12">
        <v>1</v>
      </c>
      <c r="H24" s="12" t="b">
        <v>1</v>
      </c>
      <c r="I24" s="12" t="b">
        <v>1</v>
      </c>
      <c r="J24" s="13" t="b">
        <v>1</v>
      </c>
    </row>
    <row r="25" spans="1:10">
      <c r="A25" s="11" t="s">
        <v>92</v>
      </c>
      <c r="B25" s="12" t="s">
        <v>90</v>
      </c>
      <c r="C25" s="12" t="s">
        <v>623</v>
      </c>
      <c r="D25" s="12">
        <v>1.2</v>
      </c>
      <c r="E25" s="12">
        <v>678.33489999999995</v>
      </c>
      <c r="F25" s="12" t="s">
        <v>624</v>
      </c>
      <c r="G25" s="12">
        <v>2</v>
      </c>
      <c r="H25" s="12" t="b">
        <v>1</v>
      </c>
      <c r="I25" s="12" t="b">
        <v>0</v>
      </c>
      <c r="J25" s="13" t="b">
        <v>1</v>
      </c>
    </row>
    <row r="26" spans="1:10">
      <c r="A26" s="11" t="s">
        <v>97</v>
      </c>
      <c r="B26" s="12" t="s">
        <v>96</v>
      </c>
      <c r="C26" s="12" t="s">
        <v>96</v>
      </c>
      <c r="D26" s="12">
        <v>1.2145999999999999</v>
      </c>
      <c r="E26" s="12">
        <v>347.0865</v>
      </c>
      <c r="F26" s="12" t="s">
        <v>717</v>
      </c>
      <c r="G26" s="12">
        <v>1</v>
      </c>
      <c r="H26" s="12" t="b">
        <v>1</v>
      </c>
      <c r="I26" s="12" t="b">
        <v>1</v>
      </c>
      <c r="J26" s="13" t="b">
        <v>1</v>
      </c>
    </row>
    <row r="27" spans="1:10">
      <c r="A27" s="11" t="s">
        <v>103</v>
      </c>
      <c r="B27" s="12" t="s">
        <v>101</v>
      </c>
      <c r="C27" s="12" t="s">
        <v>101</v>
      </c>
      <c r="D27" s="12">
        <v>1.1629</v>
      </c>
      <c r="E27" s="12">
        <v>248.8948</v>
      </c>
      <c r="F27" s="12" t="s">
        <v>626</v>
      </c>
      <c r="G27" s="12">
        <v>1</v>
      </c>
      <c r="H27" s="12" t="b">
        <v>1</v>
      </c>
      <c r="I27" s="12" t="b">
        <v>1</v>
      </c>
      <c r="J27" s="13" t="b">
        <v>1</v>
      </c>
    </row>
    <row r="28" spans="1:10">
      <c r="A28" s="11" t="s">
        <v>109</v>
      </c>
      <c r="B28" s="12" t="s">
        <v>107</v>
      </c>
      <c r="C28" s="12" t="s">
        <v>107</v>
      </c>
      <c r="D28" s="12">
        <v>0.9617</v>
      </c>
      <c r="E28" s="12">
        <v>129.8561</v>
      </c>
      <c r="F28" s="12" t="s">
        <v>718</v>
      </c>
      <c r="G28" s="12">
        <v>1</v>
      </c>
      <c r="H28" s="12" t="b">
        <v>1</v>
      </c>
      <c r="I28" s="12" t="b">
        <v>1</v>
      </c>
      <c r="J28" s="13" t="b">
        <v>1</v>
      </c>
    </row>
    <row r="29" spans="1:10">
      <c r="A29" s="11" t="s">
        <v>114</v>
      </c>
      <c r="B29" s="12" t="s">
        <v>113</v>
      </c>
      <c r="C29" s="12" t="s">
        <v>113</v>
      </c>
      <c r="D29" s="12">
        <v>0.98919999999999997</v>
      </c>
      <c r="E29" s="12">
        <v>155.029</v>
      </c>
      <c r="F29" s="12" t="s">
        <v>719</v>
      </c>
      <c r="G29" s="12">
        <v>1</v>
      </c>
      <c r="H29" s="12" t="b">
        <v>1</v>
      </c>
      <c r="I29" s="12" t="b">
        <v>1</v>
      </c>
      <c r="J29" s="13" t="b">
        <v>1</v>
      </c>
    </row>
    <row r="30" spans="1:10">
      <c r="A30" s="11" t="s">
        <v>119</v>
      </c>
      <c r="B30" s="12" t="s">
        <v>117</v>
      </c>
      <c r="C30" s="12" t="s">
        <v>117</v>
      </c>
      <c r="D30" s="12">
        <v>0.9385</v>
      </c>
      <c r="E30" s="12">
        <v>111.78700000000001</v>
      </c>
      <c r="F30" s="12" t="s">
        <v>720</v>
      </c>
      <c r="G30" s="12">
        <v>1</v>
      </c>
      <c r="H30" s="12" t="b">
        <v>1</v>
      </c>
      <c r="I30" s="12" t="b">
        <v>1</v>
      </c>
      <c r="J30" s="13" t="b">
        <v>1</v>
      </c>
    </row>
    <row r="31" spans="1:10">
      <c r="A31" s="11" t="s">
        <v>122</v>
      </c>
      <c r="B31" s="12" t="s">
        <v>117</v>
      </c>
      <c r="C31" s="12" t="s">
        <v>117</v>
      </c>
      <c r="D31" s="12">
        <v>1.0791999999999999</v>
      </c>
      <c r="E31" s="12">
        <v>276.50040000000001</v>
      </c>
      <c r="F31" s="12" t="s">
        <v>630</v>
      </c>
      <c r="G31" s="12">
        <v>1</v>
      </c>
      <c r="H31" s="12" t="b">
        <v>1</v>
      </c>
      <c r="I31" s="12" t="b">
        <v>1</v>
      </c>
      <c r="J31" s="13" t="b">
        <v>1</v>
      </c>
    </row>
    <row r="32" spans="1:10">
      <c r="A32" s="11" t="s">
        <v>128</v>
      </c>
      <c r="B32" s="12" t="s">
        <v>126</v>
      </c>
      <c r="C32" s="12" t="s">
        <v>468</v>
      </c>
      <c r="D32" s="12">
        <v>0.78039999999999998</v>
      </c>
      <c r="E32" s="12">
        <v>146.48779999999999</v>
      </c>
      <c r="F32" s="12" t="s">
        <v>469</v>
      </c>
      <c r="G32" s="12">
        <v>3</v>
      </c>
      <c r="H32" s="12" t="b">
        <v>1</v>
      </c>
      <c r="I32" s="12" t="b">
        <v>0</v>
      </c>
      <c r="J32" s="13" t="b">
        <v>1</v>
      </c>
    </row>
    <row r="33" spans="1:10">
      <c r="A33" s="11" t="s">
        <v>133</v>
      </c>
      <c r="B33" s="12" t="s">
        <v>131</v>
      </c>
      <c r="C33" s="12" t="s">
        <v>470</v>
      </c>
      <c r="D33" s="12">
        <v>0.83750000000000002</v>
      </c>
      <c r="E33" s="12">
        <v>211.46199999999999</v>
      </c>
      <c r="F33" s="12" t="s">
        <v>471</v>
      </c>
      <c r="G33" s="12">
        <v>3</v>
      </c>
      <c r="H33" s="12" t="b">
        <v>1</v>
      </c>
      <c r="I33" s="12" t="b">
        <v>0</v>
      </c>
      <c r="J33" s="13" t="b">
        <v>1</v>
      </c>
    </row>
    <row r="34" spans="1:10">
      <c r="A34" s="11" t="s">
        <v>137</v>
      </c>
      <c r="B34" s="12" t="s">
        <v>136</v>
      </c>
      <c r="C34" s="12" t="s">
        <v>136</v>
      </c>
      <c r="D34" s="12">
        <v>1.0692999999999999</v>
      </c>
      <c r="E34" s="12">
        <v>259.42200000000003</v>
      </c>
      <c r="F34" s="12" t="s">
        <v>721</v>
      </c>
      <c r="G34" s="12">
        <v>1</v>
      </c>
      <c r="H34" s="12" t="b">
        <v>1</v>
      </c>
      <c r="I34" s="12" t="b">
        <v>1</v>
      </c>
      <c r="J34" s="13" t="b">
        <v>1</v>
      </c>
    </row>
    <row r="35" spans="1:10">
      <c r="A35" s="11" t="s">
        <v>140</v>
      </c>
      <c r="B35" s="12" t="s">
        <v>139</v>
      </c>
      <c r="C35" s="12" t="s">
        <v>139</v>
      </c>
      <c r="D35" s="12">
        <v>1.0790999999999999</v>
      </c>
      <c r="E35" s="12">
        <v>276.21100000000001</v>
      </c>
      <c r="F35" s="12" t="s">
        <v>722</v>
      </c>
      <c r="G35" s="12">
        <v>1</v>
      </c>
      <c r="H35" s="12" t="b">
        <v>1</v>
      </c>
      <c r="I35" s="12" t="b">
        <v>1</v>
      </c>
      <c r="J35" s="13" t="b">
        <v>1</v>
      </c>
    </row>
    <row r="36" spans="1:10">
      <c r="A36" s="11" t="s">
        <v>146</v>
      </c>
      <c r="B36" s="12" t="s">
        <v>144</v>
      </c>
      <c r="C36" s="12" t="s">
        <v>144</v>
      </c>
      <c r="D36" s="12">
        <v>0.97189999999999999</v>
      </c>
      <c r="E36" s="12">
        <v>138.66810000000001</v>
      </c>
      <c r="F36" s="12" t="s">
        <v>723</v>
      </c>
      <c r="G36" s="12">
        <v>1</v>
      </c>
      <c r="H36" s="12" t="b">
        <v>1</v>
      </c>
      <c r="I36" s="12" t="b">
        <v>1</v>
      </c>
      <c r="J36" s="13" t="b">
        <v>1</v>
      </c>
    </row>
    <row r="37" spans="1:10">
      <c r="A37" s="11" t="s">
        <v>150</v>
      </c>
      <c r="B37" s="12" t="s">
        <v>149</v>
      </c>
      <c r="C37" s="12" t="s">
        <v>149</v>
      </c>
      <c r="D37" s="12">
        <v>0.96889999999999998</v>
      </c>
      <c r="E37" s="12">
        <v>136.01400000000001</v>
      </c>
      <c r="F37" s="12" t="s">
        <v>724</v>
      </c>
      <c r="G37" s="12">
        <v>1</v>
      </c>
      <c r="H37" s="12" t="b">
        <v>1</v>
      </c>
      <c r="I37" s="12" t="b">
        <v>1</v>
      </c>
      <c r="J37" s="13" t="b">
        <v>1</v>
      </c>
    </row>
    <row r="38" spans="1:10">
      <c r="A38" s="11" t="s">
        <v>155</v>
      </c>
      <c r="B38" s="12" t="s">
        <v>153</v>
      </c>
      <c r="C38" s="12" t="s">
        <v>153</v>
      </c>
      <c r="D38" s="12">
        <v>0.82189999999999996</v>
      </c>
      <c r="E38" s="12">
        <v>52.470700000000001</v>
      </c>
      <c r="F38" s="12" t="s">
        <v>725</v>
      </c>
      <c r="G38" s="12">
        <v>1</v>
      </c>
      <c r="H38" s="12" t="b">
        <v>1</v>
      </c>
      <c r="I38" s="12" t="b">
        <v>1</v>
      </c>
      <c r="J38" s="13" t="b">
        <v>1</v>
      </c>
    </row>
    <row r="39" spans="1:10">
      <c r="A39" s="11" t="s">
        <v>160</v>
      </c>
      <c r="B39" s="12" t="s">
        <v>159</v>
      </c>
      <c r="C39" s="12" t="s">
        <v>159</v>
      </c>
      <c r="D39" s="12">
        <v>0.97860000000000003</v>
      </c>
      <c r="E39" s="12">
        <v>144.72409999999999</v>
      </c>
      <c r="F39" s="12" t="s">
        <v>726</v>
      </c>
      <c r="G39" s="12">
        <v>1</v>
      </c>
      <c r="H39" s="12" t="b">
        <v>1</v>
      </c>
      <c r="I39" s="12" t="b">
        <v>1</v>
      </c>
      <c r="J39" s="13" t="b">
        <v>1</v>
      </c>
    </row>
    <row r="40" spans="1:10">
      <c r="A40" s="11" t="s">
        <v>166</v>
      </c>
      <c r="B40" s="12" t="s">
        <v>164</v>
      </c>
      <c r="C40" s="12" t="s">
        <v>169</v>
      </c>
      <c r="D40" s="12">
        <v>1.1025</v>
      </c>
      <c r="E40" s="12">
        <v>320.97370000000001</v>
      </c>
      <c r="F40" s="12" t="s">
        <v>727</v>
      </c>
      <c r="G40" s="12"/>
      <c r="H40" s="12" t="b">
        <v>1</v>
      </c>
      <c r="I40" s="12" t="b">
        <v>0</v>
      </c>
      <c r="J40" s="13" t="b">
        <v>0</v>
      </c>
    </row>
    <row r="41" spans="1:10">
      <c r="A41" s="11" t="s">
        <v>170</v>
      </c>
      <c r="B41" s="12" t="s">
        <v>169</v>
      </c>
      <c r="C41" s="12" t="s">
        <v>169</v>
      </c>
      <c r="D41" s="12">
        <v>1.1025</v>
      </c>
      <c r="E41" s="12">
        <v>320.97370000000001</v>
      </c>
      <c r="F41" s="12" t="s">
        <v>727</v>
      </c>
      <c r="G41" s="12">
        <v>1</v>
      </c>
      <c r="H41" s="12" t="b">
        <v>1</v>
      </c>
      <c r="I41" s="12" t="b">
        <v>1</v>
      </c>
      <c r="J41" s="13" t="b">
        <v>1</v>
      </c>
    </row>
    <row r="42" spans="1:10">
      <c r="A42" s="11" t="s">
        <v>176</v>
      </c>
      <c r="B42" s="12" t="s">
        <v>174</v>
      </c>
      <c r="C42" s="12" t="s">
        <v>728</v>
      </c>
      <c r="D42" s="12">
        <v>0.90100000000000002</v>
      </c>
      <c r="E42" s="12">
        <v>45.776200000000003</v>
      </c>
      <c r="F42" s="12" t="s">
        <v>729</v>
      </c>
      <c r="G42" s="12">
        <v>5</v>
      </c>
      <c r="H42" s="12" t="b">
        <v>1</v>
      </c>
      <c r="I42" s="12" t="b">
        <v>0</v>
      </c>
      <c r="J42" s="13" t="b">
        <v>1</v>
      </c>
    </row>
    <row r="43" spans="1:10">
      <c r="A43" s="11" t="s">
        <v>176</v>
      </c>
      <c r="B43" s="12" t="s">
        <v>174</v>
      </c>
      <c r="C43" s="12" t="s">
        <v>728</v>
      </c>
      <c r="D43" s="12">
        <v>0.90100000000000002</v>
      </c>
      <c r="E43" s="12">
        <v>45.776200000000003</v>
      </c>
      <c r="F43" s="12" t="s">
        <v>729</v>
      </c>
      <c r="G43" s="12">
        <v>5</v>
      </c>
      <c r="H43" s="12" t="b">
        <v>1</v>
      </c>
      <c r="I43" s="12" t="b">
        <v>0</v>
      </c>
      <c r="J43" s="13" t="b">
        <v>1</v>
      </c>
    </row>
    <row r="44" spans="1:10">
      <c r="A44" s="11" t="s">
        <v>481</v>
      </c>
      <c r="B44" s="12" t="s">
        <v>177</v>
      </c>
      <c r="C44" s="12" t="s">
        <v>43</v>
      </c>
      <c r="D44" s="12">
        <v>0.93010000000000004</v>
      </c>
      <c r="E44" s="12">
        <v>55.362400000000001</v>
      </c>
      <c r="F44" s="12" t="s">
        <v>730</v>
      </c>
      <c r="G44" s="12"/>
      <c r="H44" s="12" t="b">
        <v>1</v>
      </c>
      <c r="I44" s="12" t="b">
        <v>0</v>
      </c>
      <c r="J44" s="13" t="b">
        <v>0</v>
      </c>
    </row>
    <row r="45" spans="1:10">
      <c r="A45" s="11" t="s">
        <v>483</v>
      </c>
      <c r="B45" s="12" t="s">
        <v>181</v>
      </c>
      <c r="C45" s="12" t="s">
        <v>181</v>
      </c>
      <c r="D45" s="12">
        <v>1.1220000000000001</v>
      </c>
      <c r="E45" s="12">
        <v>363.85410000000002</v>
      </c>
      <c r="F45" s="12" t="s">
        <v>731</v>
      </c>
      <c r="G45" s="12">
        <v>1</v>
      </c>
      <c r="H45" s="12" t="b">
        <v>1</v>
      </c>
      <c r="I45" s="12" t="b">
        <v>1</v>
      </c>
      <c r="J45" s="13" t="b">
        <v>1</v>
      </c>
    </row>
    <row r="46" spans="1:10">
      <c r="A46" s="11" t="s">
        <v>485</v>
      </c>
      <c r="B46" s="12" t="s">
        <v>186</v>
      </c>
      <c r="C46" s="12" t="s">
        <v>186</v>
      </c>
      <c r="D46" s="12">
        <v>0.97289999999999999</v>
      </c>
      <c r="E46" s="12">
        <v>139.57769999999999</v>
      </c>
      <c r="F46" s="12" t="s">
        <v>732</v>
      </c>
      <c r="G46" s="12">
        <v>1</v>
      </c>
      <c r="H46" s="12" t="b">
        <v>1</v>
      </c>
      <c r="I46" s="12" t="b">
        <v>1</v>
      </c>
      <c r="J46" s="13" t="b">
        <v>1</v>
      </c>
    </row>
    <row r="47" spans="1:10">
      <c r="A47" s="11" t="s">
        <v>488</v>
      </c>
      <c r="B47" s="12" t="s">
        <v>55</v>
      </c>
      <c r="C47" s="12" t="s">
        <v>55</v>
      </c>
      <c r="D47" s="12">
        <v>1.0136000000000001</v>
      </c>
      <c r="E47" s="12">
        <v>181.3441</v>
      </c>
      <c r="F47" s="12" t="s">
        <v>733</v>
      </c>
      <c r="G47" s="12">
        <v>1</v>
      </c>
      <c r="H47" s="12" t="b">
        <v>1</v>
      </c>
      <c r="I47" s="12" t="b">
        <v>1</v>
      </c>
      <c r="J47" s="13" t="b">
        <v>1</v>
      </c>
    </row>
    <row r="48" spans="1:10">
      <c r="A48" s="11" t="s">
        <v>489</v>
      </c>
      <c r="B48" s="12" t="s">
        <v>192</v>
      </c>
      <c r="C48" s="12" t="s">
        <v>192</v>
      </c>
      <c r="D48" s="12">
        <v>1.1733</v>
      </c>
      <c r="E48" s="12">
        <v>505.71800000000002</v>
      </c>
      <c r="F48" s="12" t="s">
        <v>734</v>
      </c>
      <c r="G48" s="12">
        <v>1</v>
      </c>
      <c r="H48" s="12" t="b">
        <v>1</v>
      </c>
      <c r="I48" s="12" t="b">
        <v>1</v>
      </c>
      <c r="J48" s="13" t="b">
        <v>1</v>
      </c>
    </row>
    <row r="49" spans="1:10">
      <c r="A49" s="11" t="s">
        <v>491</v>
      </c>
      <c r="B49" s="12" t="s">
        <v>70</v>
      </c>
      <c r="C49" s="12" t="s">
        <v>70</v>
      </c>
      <c r="D49" s="12">
        <v>1.0268999999999999</v>
      </c>
      <c r="E49" s="12">
        <v>197.54910000000001</v>
      </c>
      <c r="F49" s="12" t="s">
        <v>735</v>
      </c>
      <c r="G49" s="12">
        <v>1</v>
      </c>
      <c r="H49" s="12" t="b">
        <v>1</v>
      </c>
      <c r="I49" s="12" t="b">
        <v>1</v>
      </c>
      <c r="J49" s="13" t="b">
        <v>1</v>
      </c>
    </row>
    <row r="50" spans="1:10">
      <c r="A50" s="11" t="s">
        <v>493</v>
      </c>
      <c r="B50" s="12" t="s">
        <v>197</v>
      </c>
      <c r="C50" s="12" t="s">
        <v>197</v>
      </c>
      <c r="D50" s="12">
        <v>0.98040000000000005</v>
      </c>
      <c r="E50" s="12">
        <v>146.48099999999999</v>
      </c>
      <c r="F50" s="12" t="s">
        <v>736</v>
      </c>
      <c r="G50" s="12">
        <v>1</v>
      </c>
      <c r="H50" s="12" t="b">
        <v>1</v>
      </c>
      <c r="I50" s="12" t="b">
        <v>1</v>
      </c>
      <c r="J50" s="13" t="b">
        <v>1</v>
      </c>
    </row>
    <row r="51" spans="1:10">
      <c r="A51" s="11" t="s">
        <v>495</v>
      </c>
      <c r="B51" s="12" t="s">
        <v>201</v>
      </c>
      <c r="C51" s="12" t="s">
        <v>201</v>
      </c>
      <c r="D51" s="12">
        <v>0.95789999999999997</v>
      </c>
      <c r="E51" s="12">
        <v>126.6465</v>
      </c>
      <c r="F51" s="12" t="s">
        <v>737</v>
      </c>
      <c r="G51" s="12">
        <v>1</v>
      </c>
      <c r="H51" s="12" t="b">
        <v>1</v>
      </c>
      <c r="I51" s="12" t="b">
        <v>1</v>
      </c>
      <c r="J51" s="13" t="b">
        <v>1</v>
      </c>
    </row>
    <row r="52" spans="1:10">
      <c r="A52" s="11" t="s">
        <v>497</v>
      </c>
      <c r="B52" s="12" t="s">
        <v>206</v>
      </c>
      <c r="C52" s="12" t="s">
        <v>206</v>
      </c>
      <c r="D52" s="12">
        <v>1.0838000000000001</v>
      </c>
      <c r="E52" s="12">
        <v>284.77679999999998</v>
      </c>
      <c r="F52" s="12" t="s">
        <v>738</v>
      </c>
      <c r="G52" s="12">
        <v>1</v>
      </c>
      <c r="H52" s="12" t="b">
        <v>1</v>
      </c>
      <c r="I52" s="12" t="b">
        <v>1</v>
      </c>
      <c r="J52" s="13" t="b">
        <v>1</v>
      </c>
    </row>
    <row r="53" spans="1:10">
      <c r="A53" s="11" t="s">
        <v>499</v>
      </c>
      <c r="B53" s="12" t="s">
        <v>211</v>
      </c>
      <c r="C53" s="12" t="s">
        <v>211</v>
      </c>
      <c r="D53" s="12">
        <v>0.97309999999999997</v>
      </c>
      <c r="E53" s="12">
        <v>139.75280000000001</v>
      </c>
      <c r="F53" s="12" t="s">
        <v>739</v>
      </c>
      <c r="G53" s="12">
        <v>1</v>
      </c>
      <c r="H53" s="12" t="b">
        <v>1</v>
      </c>
      <c r="I53" s="12" t="b">
        <v>1</v>
      </c>
      <c r="J53" s="13" t="b">
        <v>1</v>
      </c>
    </row>
    <row r="54" spans="1:10">
      <c r="A54" s="11" t="s">
        <v>502</v>
      </c>
      <c r="B54" s="12" t="s">
        <v>215</v>
      </c>
      <c r="C54" s="12" t="s">
        <v>650</v>
      </c>
      <c r="D54" s="12">
        <v>0.91659999999999997</v>
      </c>
      <c r="E54" s="12">
        <v>50.701300000000003</v>
      </c>
      <c r="F54" s="12" t="s">
        <v>651</v>
      </c>
      <c r="G54" s="12"/>
      <c r="H54" s="12" t="b">
        <v>1</v>
      </c>
      <c r="I54" s="12" t="b">
        <v>0</v>
      </c>
      <c r="J54" s="13" t="b">
        <v>0</v>
      </c>
    </row>
    <row r="55" spans="1:10">
      <c r="A55" s="11" t="s">
        <v>504</v>
      </c>
      <c r="B55" s="12" t="s">
        <v>218</v>
      </c>
      <c r="C55" s="12" t="s">
        <v>652</v>
      </c>
      <c r="D55" s="12">
        <v>0.81689999999999996</v>
      </c>
      <c r="E55" s="12">
        <v>50.7834</v>
      </c>
      <c r="F55" s="12" t="s">
        <v>740</v>
      </c>
      <c r="G55" s="12"/>
      <c r="H55" s="12" t="b">
        <v>1</v>
      </c>
      <c r="I55" s="12" t="b">
        <v>0</v>
      </c>
      <c r="J55" s="13" t="b">
        <v>0</v>
      </c>
    </row>
    <row r="56" spans="1:10">
      <c r="A56" s="11" t="s">
        <v>507</v>
      </c>
      <c r="B56" s="12" t="s">
        <v>222</v>
      </c>
      <c r="C56" s="12" t="s">
        <v>508</v>
      </c>
      <c r="D56" s="12">
        <v>1.137</v>
      </c>
      <c r="E56" s="12">
        <v>400.64850000000001</v>
      </c>
      <c r="F56" s="12" t="s">
        <v>741</v>
      </c>
      <c r="G56" s="12"/>
      <c r="H56" s="12" t="b">
        <v>1</v>
      </c>
      <c r="I56" s="12" t="b">
        <v>0</v>
      </c>
      <c r="J56" s="13" t="b">
        <v>0</v>
      </c>
    </row>
    <row r="57" spans="1:10">
      <c r="A57" s="11" t="s">
        <v>510</v>
      </c>
      <c r="B57" s="12" t="s">
        <v>149</v>
      </c>
      <c r="C57" s="12" t="s">
        <v>149</v>
      </c>
      <c r="D57" s="12">
        <v>0.96889999999999998</v>
      </c>
      <c r="E57" s="12">
        <v>136.01400000000001</v>
      </c>
      <c r="F57" s="12" t="s">
        <v>655</v>
      </c>
      <c r="G57" s="12">
        <v>1</v>
      </c>
      <c r="H57" s="12" t="b">
        <v>1</v>
      </c>
      <c r="I57" s="12" t="b">
        <v>1</v>
      </c>
      <c r="J57" s="13" t="b">
        <v>1</v>
      </c>
    </row>
    <row r="58" spans="1:10">
      <c r="A58" s="11" t="s">
        <v>510</v>
      </c>
      <c r="B58" s="12" t="s">
        <v>149</v>
      </c>
      <c r="C58" s="12" t="s">
        <v>149</v>
      </c>
      <c r="D58" s="12">
        <v>0.96889999999999998</v>
      </c>
      <c r="E58" s="12">
        <v>136.01400000000001</v>
      </c>
      <c r="F58" s="12" t="s">
        <v>655</v>
      </c>
      <c r="G58" s="12">
        <v>1</v>
      </c>
      <c r="H58" s="12" t="b">
        <v>1</v>
      </c>
      <c r="I58" s="12" t="b">
        <v>1</v>
      </c>
      <c r="J58" s="13" t="b">
        <v>1</v>
      </c>
    </row>
    <row r="59" spans="1:10">
      <c r="A59" s="11" t="s">
        <v>512</v>
      </c>
      <c r="B59" s="12" t="s">
        <v>159</v>
      </c>
      <c r="C59" s="12" t="s">
        <v>513</v>
      </c>
      <c r="D59" s="12">
        <v>0.77990000000000004</v>
      </c>
      <c r="E59" s="12">
        <v>145.97319999999999</v>
      </c>
      <c r="F59" s="12" t="s">
        <v>514</v>
      </c>
      <c r="G59" s="12"/>
      <c r="H59" s="12" t="b">
        <v>1</v>
      </c>
      <c r="I59" s="12" t="b">
        <v>0</v>
      </c>
      <c r="J59" s="13" t="b">
        <v>0</v>
      </c>
    </row>
    <row r="60" spans="1:10">
      <c r="A60" s="11" t="s">
        <v>515</v>
      </c>
      <c r="B60" s="12" t="s">
        <v>232</v>
      </c>
      <c r="C60" s="12" t="s">
        <v>516</v>
      </c>
      <c r="D60" s="12">
        <v>1.0896999999999999</v>
      </c>
      <c r="E60" s="12">
        <v>295.7004</v>
      </c>
      <c r="F60" s="12" t="s">
        <v>656</v>
      </c>
      <c r="G60" s="12"/>
      <c r="H60" s="12" t="b">
        <v>1</v>
      </c>
      <c r="I60" s="12" t="b">
        <v>0</v>
      </c>
      <c r="J60" s="13" t="b">
        <v>0</v>
      </c>
    </row>
    <row r="61" spans="1:10">
      <c r="A61" s="11" t="s">
        <v>518</v>
      </c>
      <c r="B61" s="12" t="s">
        <v>237</v>
      </c>
      <c r="C61" s="12" t="s">
        <v>237</v>
      </c>
      <c r="D61" s="12">
        <v>0.73939999999999995</v>
      </c>
      <c r="E61" s="12">
        <v>30.541399999999999</v>
      </c>
      <c r="F61" s="12" t="s">
        <v>742</v>
      </c>
      <c r="G61" s="12">
        <v>1</v>
      </c>
      <c r="H61" s="12" t="b">
        <v>1</v>
      </c>
      <c r="I61" s="12" t="b">
        <v>1</v>
      </c>
      <c r="J61" s="13" t="b">
        <v>1</v>
      </c>
    </row>
    <row r="62" spans="1:10">
      <c r="A62" s="11" t="s">
        <v>521</v>
      </c>
      <c r="B62" s="12" t="s">
        <v>242</v>
      </c>
      <c r="C62" s="12" t="s">
        <v>242</v>
      </c>
      <c r="D62" s="12">
        <v>0.99460000000000004</v>
      </c>
      <c r="E62" s="12">
        <v>160.46350000000001</v>
      </c>
      <c r="F62" s="12" t="s">
        <v>743</v>
      </c>
      <c r="G62" s="12">
        <v>1</v>
      </c>
      <c r="H62" s="12" t="b">
        <v>1</v>
      </c>
      <c r="I62" s="12" t="b">
        <v>1</v>
      </c>
      <c r="J62" s="13" t="b">
        <v>1</v>
      </c>
    </row>
    <row r="63" spans="1:10">
      <c r="A63" s="11" t="s">
        <v>523</v>
      </c>
      <c r="B63" s="12" t="s">
        <v>247</v>
      </c>
      <c r="C63" s="12" t="s">
        <v>524</v>
      </c>
      <c r="D63" s="12">
        <v>1.0851</v>
      </c>
      <c r="E63" s="12">
        <v>287.15010000000001</v>
      </c>
      <c r="F63" s="12" t="s">
        <v>658</v>
      </c>
      <c r="G63" s="12"/>
      <c r="H63" s="12" t="b">
        <v>1</v>
      </c>
      <c r="I63" s="12" t="b">
        <v>0</v>
      </c>
      <c r="J63" s="13" t="b">
        <v>0</v>
      </c>
    </row>
    <row r="64" spans="1:10">
      <c r="A64" s="11" t="s">
        <v>526</v>
      </c>
      <c r="B64" s="12" t="s">
        <v>186</v>
      </c>
      <c r="C64" s="12" t="s">
        <v>186</v>
      </c>
      <c r="D64" s="12">
        <v>0.89470000000000005</v>
      </c>
      <c r="E64" s="12">
        <v>84.1858</v>
      </c>
      <c r="F64" s="12" t="s">
        <v>659</v>
      </c>
      <c r="G64" s="12">
        <v>1</v>
      </c>
      <c r="H64" s="12" t="b">
        <v>1</v>
      </c>
      <c r="I64" s="12" t="b">
        <v>1</v>
      </c>
      <c r="J64" s="13" t="b">
        <v>1</v>
      </c>
    </row>
    <row r="65" spans="1:10">
      <c r="A65" s="11" t="s">
        <v>526</v>
      </c>
      <c r="B65" s="12" t="s">
        <v>186</v>
      </c>
      <c r="C65" s="12" t="s">
        <v>186</v>
      </c>
      <c r="D65" s="12">
        <v>0.89470000000000005</v>
      </c>
      <c r="E65" s="12">
        <v>84.1858</v>
      </c>
      <c r="F65" s="12" t="s">
        <v>659</v>
      </c>
      <c r="G65" s="12">
        <v>1</v>
      </c>
      <c r="H65" s="12" t="b">
        <v>1</v>
      </c>
      <c r="I65" s="12" t="b">
        <v>1</v>
      </c>
      <c r="J65" s="13" t="b">
        <v>1</v>
      </c>
    </row>
    <row r="66" spans="1:10">
      <c r="A66" s="11" t="s">
        <v>528</v>
      </c>
      <c r="B66" s="12" t="s">
        <v>254</v>
      </c>
      <c r="C66" s="12" t="s">
        <v>254</v>
      </c>
      <c r="D66" s="12">
        <v>1.2</v>
      </c>
      <c r="E66" s="12">
        <v>748.73149999999998</v>
      </c>
      <c r="F66" s="12" t="s">
        <v>744</v>
      </c>
      <c r="G66" s="12">
        <v>1</v>
      </c>
      <c r="H66" s="12" t="b">
        <v>1</v>
      </c>
      <c r="I66" s="12" t="b">
        <v>1</v>
      </c>
      <c r="J66" s="13" t="b">
        <v>1</v>
      </c>
    </row>
    <row r="67" spans="1:10">
      <c r="A67" s="11" t="s">
        <v>530</v>
      </c>
      <c r="B67" s="12" t="s">
        <v>257</v>
      </c>
      <c r="C67" s="12" t="s">
        <v>257</v>
      </c>
      <c r="D67" s="12">
        <v>1.0829</v>
      </c>
      <c r="E67" s="12">
        <v>283.0147</v>
      </c>
      <c r="F67" s="12" t="s">
        <v>661</v>
      </c>
      <c r="G67" s="12">
        <v>1</v>
      </c>
      <c r="H67" s="12" t="b">
        <v>1</v>
      </c>
      <c r="I67" s="12" t="b">
        <v>1</v>
      </c>
      <c r="J67" s="13" t="b">
        <v>1</v>
      </c>
    </row>
    <row r="68" spans="1:10">
      <c r="A68" s="11" t="s">
        <v>532</v>
      </c>
      <c r="B68" s="12" t="s">
        <v>263</v>
      </c>
      <c r="C68" s="12" t="s">
        <v>263</v>
      </c>
      <c r="D68" s="12">
        <v>1.1151</v>
      </c>
      <c r="E68" s="12">
        <v>348.1499</v>
      </c>
      <c r="F68" s="12" t="s">
        <v>745</v>
      </c>
      <c r="G68" s="12">
        <v>1</v>
      </c>
      <c r="H68" s="12" t="b">
        <v>1</v>
      </c>
      <c r="I68" s="12" t="b">
        <v>1</v>
      </c>
      <c r="J68" s="13" t="b">
        <v>1</v>
      </c>
    </row>
    <row r="69" spans="1:10">
      <c r="A69" s="11" t="s">
        <v>534</v>
      </c>
      <c r="B69" s="12" t="s">
        <v>267</v>
      </c>
      <c r="C69" s="12" t="s">
        <v>267</v>
      </c>
      <c r="D69" s="12">
        <v>0.86350000000000005</v>
      </c>
      <c r="E69" s="12">
        <v>68.777799999999999</v>
      </c>
      <c r="F69" s="12" t="s">
        <v>663</v>
      </c>
      <c r="G69" s="12">
        <v>1</v>
      </c>
      <c r="H69" s="12" t="b">
        <v>1</v>
      </c>
      <c r="I69" s="12" t="b">
        <v>1</v>
      </c>
      <c r="J69" s="13" t="b">
        <v>1</v>
      </c>
    </row>
    <row r="70" spans="1:10">
      <c r="A70" s="11" t="s">
        <v>536</v>
      </c>
      <c r="B70" s="12" t="s">
        <v>272</v>
      </c>
      <c r="C70" s="12" t="s">
        <v>272</v>
      </c>
      <c r="D70" s="12">
        <v>1.0098</v>
      </c>
      <c r="E70" s="12">
        <v>176.9657</v>
      </c>
      <c r="F70" s="12" t="s">
        <v>664</v>
      </c>
      <c r="G70" s="12">
        <v>1</v>
      </c>
      <c r="H70" s="12" t="b">
        <v>1</v>
      </c>
      <c r="I70" s="12" t="b">
        <v>1</v>
      </c>
      <c r="J70" s="13" t="b">
        <v>1</v>
      </c>
    </row>
    <row r="71" spans="1:10">
      <c r="A71" s="11" t="s">
        <v>538</v>
      </c>
      <c r="B71" s="12" t="s">
        <v>276</v>
      </c>
      <c r="C71" s="12" t="s">
        <v>276</v>
      </c>
      <c r="D71" s="12">
        <v>1.1762999999999999</v>
      </c>
      <c r="E71" s="12">
        <v>271.28739999999999</v>
      </c>
      <c r="F71" s="12" t="s">
        <v>665</v>
      </c>
      <c r="G71" s="12">
        <v>1</v>
      </c>
      <c r="H71" s="12" t="b">
        <v>1</v>
      </c>
      <c r="I71" s="12" t="b">
        <v>1</v>
      </c>
      <c r="J71" s="13" t="b">
        <v>1</v>
      </c>
    </row>
    <row r="72" spans="1:10">
      <c r="A72" s="11" t="s">
        <v>540</v>
      </c>
      <c r="B72" s="12" t="s">
        <v>281</v>
      </c>
      <c r="C72" s="12" t="s">
        <v>541</v>
      </c>
      <c r="D72" s="12">
        <v>0.75090000000000001</v>
      </c>
      <c r="E72" s="12">
        <v>121.05070000000001</v>
      </c>
      <c r="F72" s="12" t="s">
        <v>542</v>
      </c>
      <c r="G72" s="12">
        <v>2</v>
      </c>
      <c r="H72" s="12" t="b">
        <v>1</v>
      </c>
      <c r="I72" s="12" t="b">
        <v>0</v>
      </c>
      <c r="J72" s="13" t="b">
        <v>1</v>
      </c>
    </row>
    <row r="73" spans="1:10">
      <c r="A73" s="11" t="s">
        <v>543</v>
      </c>
      <c r="B73" s="12" t="s">
        <v>286</v>
      </c>
      <c r="C73" s="12" t="s">
        <v>286</v>
      </c>
      <c r="D73" s="12">
        <v>1.1625000000000001</v>
      </c>
      <c r="E73" s="12">
        <v>471.76569999999998</v>
      </c>
      <c r="F73" s="12" t="s">
        <v>746</v>
      </c>
      <c r="G73" s="12">
        <v>1</v>
      </c>
      <c r="H73" s="12" t="b">
        <v>1</v>
      </c>
      <c r="I73" s="12" t="b">
        <v>1</v>
      </c>
      <c r="J73" s="13" t="b">
        <v>1</v>
      </c>
    </row>
    <row r="74" spans="1:10">
      <c r="A74" s="11" t="s">
        <v>545</v>
      </c>
      <c r="B74" s="12" t="s">
        <v>289</v>
      </c>
      <c r="C74" s="12" t="s">
        <v>289</v>
      </c>
      <c r="D74" s="12">
        <v>1.1052</v>
      </c>
      <c r="E74" s="12">
        <v>326.7722</v>
      </c>
      <c r="F74" s="12" t="s">
        <v>667</v>
      </c>
      <c r="G74" s="12">
        <v>1</v>
      </c>
      <c r="H74" s="12" t="b">
        <v>1</v>
      </c>
      <c r="I74" s="12" t="b">
        <v>1</v>
      </c>
      <c r="J74" s="13" t="b">
        <v>1</v>
      </c>
    </row>
    <row r="75" spans="1:10">
      <c r="A75" s="11" t="s">
        <v>548</v>
      </c>
      <c r="B75" s="12" t="s">
        <v>293</v>
      </c>
      <c r="C75" s="12" t="s">
        <v>293</v>
      </c>
      <c r="D75" s="12">
        <v>0.7843</v>
      </c>
      <c r="E75" s="12">
        <v>150.13409999999999</v>
      </c>
      <c r="F75" s="12" t="s">
        <v>747</v>
      </c>
      <c r="G75" s="12">
        <v>1</v>
      </c>
      <c r="H75" s="12" t="b">
        <v>1</v>
      </c>
      <c r="I75" s="12" t="b">
        <v>1</v>
      </c>
      <c r="J75" s="13" t="b">
        <v>1</v>
      </c>
    </row>
    <row r="76" spans="1:10">
      <c r="A76" s="11" t="s">
        <v>551</v>
      </c>
      <c r="B76" s="12" t="s">
        <v>298</v>
      </c>
      <c r="C76" s="12" t="s">
        <v>748</v>
      </c>
      <c r="D76" s="12">
        <v>0.99960000000000004</v>
      </c>
      <c r="E76" s="12">
        <v>165.7124</v>
      </c>
      <c r="F76" s="12" t="s">
        <v>749</v>
      </c>
      <c r="G76" s="12">
        <v>2</v>
      </c>
      <c r="H76" s="12" t="b">
        <v>1</v>
      </c>
      <c r="I76" s="12" t="b">
        <v>0</v>
      </c>
      <c r="J76" s="13" t="b">
        <v>1</v>
      </c>
    </row>
    <row r="77" spans="1:10">
      <c r="A77" s="11" t="s">
        <v>553</v>
      </c>
      <c r="B77" s="12" t="s">
        <v>303</v>
      </c>
      <c r="C77" s="12" t="s">
        <v>670</v>
      </c>
      <c r="D77" s="12">
        <v>0.86329999999999996</v>
      </c>
      <c r="E77" s="12">
        <v>249.63560000000001</v>
      </c>
      <c r="F77" s="12" t="s">
        <v>671</v>
      </c>
      <c r="G77" s="12">
        <v>3</v>
      </c>
      <c r="H77" s="12" t="b">
        <v>1</v>
      </c>
      <c r="I77" s="12" t="b">
        <v>0</v>
      </c>
      <c r="J77" s="13" t="b">
        <v>1</v>
      </c>
    </row>
    <row r="78" spans="1:10">
      <c r="A78" s="11" t="s">
        <v>556</v>
      </c>
      <c r="B78" s="12" t="s">
        <v>308</v>
      </c>
      <c r="C78" s="12" t="s">
        <v>308</v>
      </c>
      <c r="D78" s="12">
        <v>0.95050000000000001</v>
      </c>
      <c r="E78" s="12">
        <v>120.7479</v>
      </c>
      <c r="F78" s="12" t="s">
        <v>750</v>
      </c>
      <c r="G78" s="12">
        <v>1</v>
      </c>
      <c r="H78" s="12" t="b">
        <v>1</v>
      </c>
      <c r="I78" s="12" t="b">
        <v>1</v>
      </c>
      <c r="J78" s="13" t="b">
        <v>1</v>
      </c>
    </row>
    <row r="79" spans="1:10">
      <c r="A79" s="11" t="s">
        <v>185</v>
      </c>
      <c r="B79" s="12" t="s">
        <v>186</v>
      </c>
      <c r="C79" s="12" t="s">
        <v>558</v>
      </c>
      <c r="D79" s="12">
        <v>0.98360000000000003</v>
      </c>
      <c r="E79" s="12">
        <v>540.25519999999995</v>
      </c>
      <c r="F79" s="12" t="s">
        <v>559</v>
      </c>
      <c r="G79" s="12">
        <v>2</v>
      </c>
      <c r="H79" s="12" t="b">
        <v>1</v>
      </c>
      <c r="I79" s="12" t="b">
        <v>0</v>
      </c>
      <c r="J79" s="13" t="b">
        <v>1</v>
      </c>
    </row>
    <row r="80" spans="1:10">
      <c r="A80" s="11" t="s">
        <v>221</v>
      </c>
      <c r="B80" s="12" t="s">
        <v>314</v>
      </c>
      <c r="C80" s="12" t="s">
        <v>222</v>
      </c>
      <c r="D80" s="12">
        <v>1</v>
      </c>
      <c r="E80" s="12">
        <v>657.71500000000003</v>
      </c>
      <c r="F80" s="12" t="s">
        <v>673</v>
      </c>
      <c r="G80" s="12">
        <v>3</v>
      </c>
      <c r="H80" s="12" t="b">
        <v>1</v>
      </c>
      <c r="I80" s="12" t="b">
        <v>0</v>
      </c>
      <c r="J80" s="13" t="b">
        <v>1</v>
      </c>
    </row>
    <row r="81" spans="1:10">
      <c r="A81" s="11" t="s">
        <v>316</v>
      </c>
      <c r="B81" s="12" t="s">
        <v>317</v>
      </c>
      <c r="C81" s="12" t="s">
        <v>317</v>
      </c>
      <c r="D81" s="12">
        <v>1</v>
      </c>
      <c r="E81" s="12">
        <v>742.70299999999997</v>
      </c>
      <c r="F81" s="12" t="s">
        <v>674</v>
      </c>
      <c r="G81" s="12">
        <v>1</v>
      </c>
      <c r="H81" s="12" t="b">
        <v>1</v>
      </c>
      <c r="I81" s="12" t="b">
        <v>1</v>
      </c>
      <c r="J81" s="13" t="b">
        <v>1</v>
      </c>
    </row>
    <row r="82" spans="1:10">
      <c r="A82" s="11" t="s">
        <v>316</v>
      </c>
      <c r="B82" s="12" t="s">
        <v>319</v>
      </c>
      <c r="C82" s="12" t="s">
        <v>317</v>
      </c>
      <c r="D82" s="12">
        <v>1</v>
      </c>
      <c r="E82" s="12">
        <v>742.70299999999997</v>
      </c>
      <c r="F82" s="12" t="s">
        <v>674</v>
      </c>
      <c r="G82" s="12">
        <v>5</v>
      </c>
      <c r="H82" s="12" t="b">
        <v>1</v>
      </c>
      <c r="I82" s="12" t="b">
        <v>0</v>
      </c>
      <c r="J82" s="13" t="b">
        <v>1</v>
      </c>
    </row>
    <row r="83" spans="1:10">
      <c r="A83" s="11" t="s">
        <v>321</v>
      </c>
      <c r="B83" s="12" t="s">
        <v>322</v>
      </c>
      <c r="C83" s="12" t="s">
        <v>675</v>
      </c>
      <c r="D83" s="12">
        <v>1</v>
      </c>
      <c r="E83" s="12">
        <v>679.69889999999998</v>
      </c>
      <c r="F83" s="12" t="s">
        <v>676</v>
      </c>
      <c r="G83" s="12">
        <v>2</v>
      </c>
      <c r="H83" s="12" t="b">
        <v>1</v>
      </c>
      <c r="I83" s="12" t="b">
        <v>0</v>
      </c>
      <c r="J83" s="13" t="b">
        <v>1</v>
      </c>
    </row>
    <row r="84" spans="1:10">
      <c r="A84" s="11" t="s">
        <v>148</v>
      </c>
      <c r="B84" s="12" t="s">
        <v>325</v>
      </c>
      <c r="C84" s="12" t="s">
        <v>325</v>
      </c>
      <c r="D84" s="12">
        <v>0.89439999999999997</v>
      </c>
      <c r="E84" s="12">
        <v>304.70159999999998</v>
      </c>
      <c r="F84" s="12" t="s">
        <v>565</v>
      </c>
      <c r="G84" s="12">
        <v>1</v>
      </c>
      <c r="H84" s="12" t="b">
        <v>1</v>
      </c>
      <c r="I84" s="12" t="b">
        <v>1</v>
      </c>
      <c r="J84" s="13" t="b">
        <v>1</v>
      </c>
    </row>
    <row r="85" spans="1:10">
      <c r="A85" s="11" t="s">
        <v>100</v>
      </c>
      <c r="B85" s="12" t="s">
        <v>101</v>
      </c>
      <c r="C85" s="12" t="s">
        <v>101</v>
      </c>
      <c r="D85" s="12">
        <v>1</v>
      </c>
      <c r="E85" s="12">
        <v>794.69190000000003</v>
      </c>
      <c r="F85" s="12" t="s">
        <v>677</v>
      </c>
      <c r="G85" s="12">
        <v>1</v>
      </c>
      <c r="H85" s="12" t="b">
        <v>1</v>
      </c>
      <c r="I85" s="12" t="b">
        <v>1</v>
      </c>
      <c r="J85" s="13" t="b">
        <v>1</v>
      </c>
    </row>
    <row r="86" spans="1:10">
      <c r="A86" s="11" t="s">
        <v>200</v>
      </c>
      <c r="B86" s="12" t="s">
        <v>201</v>
      </c>
      <c r="C86" s="12" t="s">
        <v>678</v>
      </c>
      <c r="D86" s="12">
        <v>0.9476</v>
      </c>
      <c r="E86" s="12">
        <v>428.68029999999999</v>
      </c>
      <c r="F86" s="12" t="s">
        <v>679</v>
      </c>
      <c r="G86" s="12">
        <v>3</v>
      </c>
      <c r="H86" s="12" t="b">
        <v>1</v>
      </c>
      <c r="I86" s="12" t="b">
        <v>0</v>
      </c>
      <c r="J86" s="13" t="b">
        <v>1</v>
      </c>
    </row>
    <row r="87" spans="1:10">
      <c r="A87" s="11" t="s">
        <v>328</v>
      </c>
      <c r="B87" s="12" t="s">
        <v>329</v>
      </c>
      <c r="C87" s="12" t="s">
        <v>569</v>
      </c>
      <c r="D87" s="12">
        <v>0.99319999999999997</v>
      </c>
      <c r="E87" s="12">
        <v>574.40620000000001</v>
      </c>
      <c r="F87" s="12" t="s">
        <v>570</v>
      </c>
      <c r="G87" s="12">
        <v>3</v>
      </c>
      <c r="H87" s="12" t="b">
        <v>1</v>
      </c>
      <c r="I87" s="12" t="b">
        <v>0</v>
      </c>
      <c r="J87" s="13" t="b">
        <v>1</v>
      </c>
    </row>
    <row r="88" spans="1:10">
      <c r="A88" s="11" t="s">
        <v>330</v>
      </c>
      <c r="B88" s="12" t="s">
        <v>332</v>
      </c>
      <c r="C88" s="12" t="s">
        <v>332</v>
      </c>
      <c r="D88" s="12">
        <v>1.0753999999999999</v>
      </c>
      <c r="E88" s="12">
        <v>269.80939999999998</v>
      </c>
      <c r="F88" s="12" t="s">
        <v>680</v>
      </c>
      <c r="G88" s="12">
        <v>1</v>
      </c>
      <c r="H88" s="12" t="b">
        <v>1</v>
      </c>
      <c r="I88" s="12" t="b">
        <v>1</v>
      </c>
      <c r="J88" s="13" t="b">
        <v>1</v>
      </c>
    </row>
    <row r="89" spans="1:10">
      <c r="A89" s="11" t="s">
        <v>338</v>
      </c>
      <c r="B89" s="12" t="s">
        <v>336</v>
      </c>
      <c r="C89" s="12" t="s">
        <v>681</v>
      </c>
      <c r="D89" s="12">
        <v>1.0779000000000001</v>
      </c>
      <c r="E89" s="12">
        <v>274.1832</v>
      </c>
      <c r="F89" s="12" t="s">
        <v>751</v>
      </c>
      <c r="G89" s="12">
        <v>2</v>
      </c>
      <c r="H89" s="12" t="b">
        <v>1</v>
      </c>
      <c r="I89" s="12" t="b">
        <v>0</v>
      </c>
      <c r="J89" s="13" t="b">
        <v>1</v>
      </c>
    </row>
    <row r="90" spans="1:10">
      <c r="A90" s="11" t="s">
        <v>342</v>
      </c>
      <c r="B90" s="12" t="s">
        <v>341</v>
      </c>
      <c r="C90" s="12" t="s">
        <v>341</v>
      </c>
      <c r="D90" s="12">
        <v>0.9</v>
      </c>
      <c r="E90" s="12">
        <v>670.57100000000003</v>
      </c>
      <c r="F90" s="12" t="s">
        <v>752</v>
      </c>
      <c r="G90" s="12">
        <v>1</v>
      </c>
      <c r="H90" s="12" t="b">
        <v>1</v>
      </c>
      <c r="I90" s="12" t="b">
        <v>1</v>
      </c>
      <c r="J90" s="13" t="b">
        <v>1</v>
      </c>
    </row>
    <row r="91" spans="1:10">
      <c r="A91" s="11" t="s">
        <v>347</v>
      </c>
      <c r="B91" s="12" t="s">
        <v>345</v>
      </c>
      <c r="C91" s="12" t="s">
        <v>345</v>
      </c>
      <c r="D91" s="12">
        <v>0.98329999999999995</v>
      </c>
      <c r="E91" s="12">
        <v>149.19720000000001</v>
      </c>
      <c r="F91" s="12" t="s">
        <v>753</v>
      </c>
      <c r="G91" s="12">
        <v>1</v>
      </c>
      <c r="H91" s="12" t="b">
        <v>1</v>
      </c>
      <c r="I91" s="12" t="b">
        <v>1</v>
      </c>
      <c r="J91" s="13" t="b">
        <v>1</v>
      </c>
    </row>
    <row r="92" spans="1:10">
      <c r="A92" s="11" t="s">
        <v>352</v>
      </c>
      <c r="B92" s="12" t="s">
        <v>350</v>
      </c>
      <c r="C92" s="12" t="s">
        <v>350</v>
      </c>
      <c r="D92" s="12">
        <v>0.86009999999999998</v>
      </c>
      <c r="E92" s="12">
        <v>464.55399999999997</v>
      </c>
      <c r="F92" s="12" t="s">
        <v>754</v>
      </c>
      <c r="G92" s="12">
        <v>1</v>
      </c>
      <c r="H92" s="12" t="b">
        <v>1</v>
      </c>
      <c r="I92" s="12" t="b">
        <v>1</v>
      </c>
      <c r="J92" s="13" t="b">
        <v>1</v>
      </c>
    </row>
    <row r="93" spans="1:10">
      <c r="A93" s="11" t="s">
        <v>355</v>
      </c>
      <c r="B93" s="12" t="s">
        <v>242</v>
      </c>
      <c r="C93" s="12" t="s">
        <v>242</v>
      </c>
      <c r="D93" s="12">
        <v>0.99460000000000004</v>
      </c>
      <c r="E93" s="12">
        <v>160.46350000000001</v>
      </c>
      <c r="F93" s="12" t="s">
        <v>685</v>
      </c>
      <c r="G93" s="12">
        <v>1</v>
      </c>
      <c r="H93" s="12" t="b">
        <v>1</v>
      </c>
      <c r="I93" s="12" t="b">
        <v>1</v>
      </c>
      <c r="J93" s="13" t="b">
        <v>1</v>
      </c>
    </row>
    <row r="94" spans="1:10">
      <c r="A94" s="11" t="s">
        <v>358</v>
      </c>
      <c r="B94" s="12" t="s">
        <v>357</v>
      </c>
      <c r="C94" s="12" t="s">
        <v>578</v>
      </c>
      <c r="D94" s="12">
        <v>0.73929999999999996</v>
      </c>
      <c r="E94" s="12">
        <v>30.531400000000001</v>
      </c>
      <c r="F94" s="12" t="s">
        <v>755</v>
      </c>
      <c r="G94" s="12"/>
      <c r="H94" s="12" t="b">
        <v>1</v>
      </c>
      <c r="I94" s="12" t="b">
        <v>0</v>
      </c>
      <c r="J94" s="13" t="b">
        <v>0</v>
      </c>
    </row>
    <row r="95" spans="1:10">
      <c r="A95" s="11" t="s">
        <v>363</v>
      </c>
      <c r="B95" s="12" t="s">
        <v>361</v>
      </c>
      <c r="C95" s="12" t="s">
        <v>756</v>
      </c>
      <c r="D95" s="12">
        <v>0.9607</v>
      </c>
      <c r="E95" s="12">
        <v>128.99039999999999</v>
      </c>
      <c r="F95" s="12" t="s">
        <v>757</v>
      </c>
      <c r="G95" s="12">
        <v>3</v>
      </c>
      <c r="H95" s="12" t="b">
        <v>1</v>
      </c>
      <c r="I95" s="12" t="b">
        <v>0</v>
      </c>
      <c r="J95" s="13" t="b">
        <v>1</v>
      </c>
    </row>
    <row r="96" spans="1:10">
      <c r="A96" s="11" t="s">
        <v>368</v>
      </c>
      <c r="B96" s="12" t="s">
        <v>366</v>
      </c>
      <c r="C96" s="12" t="s">
        <v>581</v>
      </c>
      <c r="D96" s="12">
        <v>0.94169999999999998</v>
      </c>
      <c r="E96" s="12">
        <v>114.11539999999999</v>
      </c>
      <c r="F96" s="12" t="s">
        <v>686</v>
      </c>
      <c r="G96" s="12">
        <v>5</v>
      </c>
      <c r="H96" s="12" t="b">
        <v>1</v>
      </c>
      <c r="I96" s="12" t="b">
        <v>0</v>
      </c>
      <c r="J96" s="13" t="b">
        <v>1</v>
      </c>
    </row>
    <row r="97" spans="1:10">
      <c r="A97" s="11" t="s">
        <v>371</v>
      </c>
      <c r="B97" s="12" t="s">
        <v>369</v>
      </c>
      <c r="C97" s="12" t="s">
        <v>369</v>
      </c>
      <c r="D97" s="12">
        <v>1.0840000000000001</v>
      </c>
      <c r="E97" s="12">
        <v>285.17399999999998</v>
      </c>
      <c r="F97" s="12" t="s">
        <v>758</v>
      </c>
      <c r="G97" s="12">
        <v>1</v>
      </c>
      <c r="H97" s="12" t="b">
        <v>1</v>
      </c>
      <c r="I97" s="12" t="b">
        <v>1</v>
      </c>
      <c r="J97" s="13" t="b">
        <v>1</v>
      </c>
    </row>
    <row r="98" spans="1:10">
      <c r="A98" s="11" t="s">
        <v>375</v>
      </c>
      <c r="B98" s="12" t="s">
        <v>374</v>
      </c>
      <c r="C98" s="12" t="s">
        <v>374</v>
      </c>
      <c r="D98" s="12">
        <v>1.1631</v>
      </c>
      <c r="E98" s="12">
        <v>473.74939999999998</v>
      </c>
      <c r="F98" s="12" t="s">
        <v>759</v>
      </c>
      <c r="G98" s="12">
        <v>1</v>
      </c>
      <c r="H98" s="12" t="b">
        <v>1</v>
      </c>
      <c r="I98" s="12" t="b">
        <v>1</v>
      </c>
      <c r="J98" s="13" t="b">
        <v>1</v>
      </c>
    </row>
    <row r="99" spans="1:10">
      <c r="A99" s="11" t="s">
        <v>381</v>
      </c>
      <c r="B99" s="12" t="s">
        <v>378</v>
      </c>
      <c r="C99" s="12" t="s">
        <v>378</v>
      </c>
      <c r="D99" s="12">
        <v>0.85099999999999998</v>
      </c>
      <c r="E99" s="12">
        <v>63.425699999999999</v>
      </c>
      <c r="F99" s="12" t="s">
        <v>760</v>
      </c>
      <c r="G99" s="12">
        <v>1</v>
      </c>
      <c r="H99" s="12" t="b">
        <v>1</v>
      </c>
      <c r="I99" s="12" t="b">
        <v>1</v>
      </c>
      <c r="J99" s="13" t="b">
        <v>1</v>
      </c>
    </row>
    <row r="100" spans="1:10">
      <c r="A100" s="11" t="s">
        <v>386</v>
      </c>
      <c r="B100" s="12" t="s">
        <v>384</v>
      </c>
      <c r="C100" s="12" t="s">
        <v>384</v>
      </c>
      <c r="D100" s="12">
        <v>1.1628000000000001</v>
      </c>
      <c r="E100" s="12">
        <v>472.59620000000001</v>
      </c>
      <c r="F100" s="12" t="s">
        <v>761</v>
      </c>
      <c r="G100" s="12">
        <v>1</v>
      </c>
      <c r="H100" s="12" t="b">
        <v>1</v>
      </c>
      <c r="I100" s="12" t="b">
        <v>1</v>
      </c>
      <c r="J100" s="13" t="b">
        <v>1</v>
      </c>
    </row>
    <row r="101" spans="1:10">
      <c r="A101" s="11" t="s">
        <v>387</v>
      </c>
      <c r="B101" s="12" t="s">
        <v>384</v>
      </c>
      <c r="C101" s="12" t="s">
        <v>384</v>
      </c>
      <c r="D101" s="12">
        <v>0.875</v>
      </c>
      <c r="E101" s="12">
        <v>449.6121</v>
      </c>
      <c r="F101" s="12" t="s">
        <v>762</v>
      </c>
      <c r="G101" s="12">
        <v>1</v>
      </c>
      <c r="H101" s="12" t="b">
        <v>1</v>
      </c>
      <c r="I101" s="12" t="b">
        <v>1</v>
      </c>
      <c r="J101" s="13" t="b">
        <v>1</v>
      </c>
    </row>
    <row r="102" spans="1:10">
      <c r="A102" s="11" t="s">
        <v>392</v>
      </c>
      <c r="B102" s="12" t="s">
        <v>390</v>
      </c>
      <c r="C102" s="12" t="s">
        <v>384</v>
      </c>
      <c r="D102" s="12">
        <v>0.81740000000000002</v>
      </c>
      <c r="E102" s="12">
        <v>50.946599999999997</v>
      </c>
      <c r="F102" s="12" t="s">
        <v>763</v>
      </c>
      <c r="G102" s="12">
        <v>5</v>
      </c>
      <c r="H102" s="12" t="b">
        <v>1</v>
      </c>
      <c r="I102" s="12" t="b">
        <v>0</v>
      </c>
      <c r="J102" s="13" t="b">
        <v>1</v>
      </c>
    </row>
    <row r="103" spans="1:10">
      <c r="A103" s="11" t="s">
        <v>352</v>
      </c>
      <c r="B103" s="12" t="s">
        <v>350</v>
      </c>
      <c r="C103" s="12" t="s">
        <v>350</v>
      </c>
      <c r="D103" s="12">
        <v>0.86009999999999998</v>
      </c>
      <c r="E103" s="12">
        <v>464.55399999999997</v>
      </c>
      <c r="F103" s="12" t="s">
        <v>754</v>
      </c>
      <c r="G103" s="12">
        <v>1</v>
      </c>
      <c r="H103" s="12" t="b">
        <v>1</v>
      </c>
      <c r="I103" s="12" t="b">
        <v>1</v>
      </c>
      <c r="J103" s="13" t="b">
        <v>1</v>
      </c>
    </row>
    <row r="104" spans="1:10">
      <c r="A104" s="11" t="s">
        <v>395</v>
      </c>
      <c r="B104" s="12" t="s">
        <v>394</v>
      </c>
      <c r="C104" s="12" t="s">
        <v>394</v>
      </c>
      <c r="D104" s="12">
        <v>1.1315999999999999</v>
      </c>
      <c r="E104" s="12">
        <v>387.03719999999998</v>
      </c>
      <c r="F104" s="12" t="s">
        <v>693</v>
      </c>
      <c r="G104" s="12">
        <v>1</v>
      </c>
      <c r="H104" s="12" t="b">
        <v>1</v>
      </c>
      <c r="I104" s="12" t="b">
        <v>1</v>
      </c>
      <c r="J104" s="13" t="b">
        <v>1</v>
      </c>
    </row>
    <row r="105" spans="1:10">
      <c r="A105" s="11" t="s">
        <v>400</v>
      </c>
      <c r="B105" s="12" t="s">
        <v>398</v>
      </c>
      <c r="C105" s="12" t="s">
        <v>411</v>
      </c>
      <c r="D105" s="12">
        <v>0.78449999999999998</v>
      </c>
      <c r="E105" s="12">
        <v>41.096400000000003</v>
      </c>
      <c r="F105" s="12" t="s">
        <v>764</v>
      </c>
      <c r="G105" s="12">
        <v>4</v>
      </c>
      <c r="H105" s="12" t="b">
        <v>1</v>
      </c>
      <c r="I105" s="12" t="b">
        <v>0</v>
      </c>
      <c r="J105" s="13" t="b">
        <v>1</v>
      </c>
    </row>
    <row r="106" spans="1:10">
      <c r="A106" s="11" t="s">
        <v>403</v>
      </c>
      <c r="B106" s="12" t="s">
        <v>402</v>
      </c>
      <c r="C106" s="12" t="s">
        <v>765</v>
      </c>
      <c r="D106" s="12">
        <v>0.81299999999999994</v>
      </c>
      <c r="E106" s="12">
        <v>49.533999999999999</v>
      </c>
      <c r="F106" s="12" t="s">
        <v>766</v>
      </c>
      <c r="G106" s="12">
        <v>5</v>
      </c>
      <c r="H106" s="12" t="b">
        <v>1</v>
      </c>
      <c r="I106" s="12" t="b">
        <v>0</v>
      </c>
      <c r="J106" s="13" t="b">
        <v>1</v>
      </c>
    </row>
    <row r="107" spans="1:10">
      <c r="A107" s="11" t="s">
        <v>404</v>
      </c>
      <c r="B107" s="12" t="s">
        <v>406</v>
      </c>
      <c r="C107" s="12" t="s">
        <v>406</v>
      </c>
      <c r="D107" s="12">
        <v>1.0781000000000001</v>
      </c>
      <c r="E107" s="12">
        <v>274.55410000000001</v>
      </c>
      <c r="F107" s="12" t="s">
        <v>767</v>
      </c>
      <c r="G107" s="12">
        <v>1</v>
      </c>
      <c r="H107" s="12" t="b">
        <v>1</v>
      </c>
      <c r="I107" s="12" t="b">
        <v>1</v>
      </c>
      <c r="J107" s="13" t="b">
        <v>1</v>
      </c>
    </row>
    <row r="108" spans="1:10">
      <c r="A108" s="11" t="s">
        <v>408</v>
      </c>
      <c r="B108" s="12" t="s">
        <v>409</v>
      </c>
      <c r="C108" s="12" t="s">
        <v>409</v>
      </c>
      <c r="D108" s="12">
        <v>1.0848</v>
      </c>
      <c r="E108" s="12">
        <v>286.61950000000002</v>
      </c>
      <c r="F108" s="12" t="s">
        <v>768</v>
      </c>
      <c r="G108" s="12">
        <v>1</v>
      </c>
      <c r="H108" s="12" t="b">
        <v>1</v>
      </c>
      <c r="I108" s="12" t="b">
        <v>1</v>
      </c>
      <c r="J108" s="13" t="b">
        <v>1</v>
      </c>
    </row>
    <row r="109" spans="1:10">
      <c r="A109" s="11" t="s">
        <v>412</v>
      </c>
      <c r="B109" s="12" t="s">
        <v>411</v>
      </c>
      <c r="C109" s="12" t="s">
        <v>411</v>
      </c>
      <c r="D109" s="12">
        <v>1.1540999999999999</v>
      </c>
      <c r="E109" s="12">
        <v>447.16090000000003</v>
      </c>
      <c r="F109" s="12" t="s">
        <v>596</v>
      </c>
      <c r="G109" s="12">
        <v>1</v>
      </c>
      <c r="H109" s="12" t="b">
        <v>1</v>
      </c>
      <c r="I109" s="12" t="b">
        <v>1</v>
      </c>
      <c r="J109" s="13" t="b">
        <v>1</v>
      </c>
    </row>
    <row r="110" spans="1:10">
      <c r="A110" s="14" t="s">
        <v>415</v>
      </c>
      <c r="B110" s="15" t="s">
        <v>414</v>
      </c>
      <c r="C110" s="15" t="s">
        <v>769</v>
      </c>
      <c r="D110" s="15">
        <v>0.81989999999999996</v>
      </c>
      <c r="E110" s="15">
        <v>358.96929999999998</v>
      </c>
      <c r="F110" s="15" t="s">
        <v>770</v>
      </c>
      <c r="G110" s="15">
        <v>2</v>
      </c>
      <c r="H110" s="15" t="b">
        <v>1</v>
      </c>
      <c r="I110" s="15" t="b">
        <v>0</v>
      </c>
      <c r="J110" s="1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2F19-FC7E-4667-9DD9-D8763601E0EB}">
  <dimension ref="A1:AA108"/>
  <sheetViews>
    <sheetView topLeftCell="M1" workbookViewId="0">
      <selection activeCell="S2" sqref="S2"/>
    </sheetView>
  </sheetViews>
  <sheetFormatPr defaultRowHeight="15"/>
  <cols>
    <col min="2" max="2" width="22.85546875" customWidth="1"/>
    <col min="12" max="12" width="18.42578125" customWidth="1"/>
    <col min="17" max="17" width="19.5703125" customWidth="1"/>
    <col min="18" max="18" width="21.42578125" customWidth="1"/>
    <col min="19" max="19" width="23.7109375" customWidth="1"/>
    <col min="22" max="22" width="26.5703125" customWidth="1"/>
    <col min="23" max="23" width="12.85546875" customWidth="1"/>
  </cols>
  <sheetData>
    <row r="1" spans="1:27" ht="49.5" customHeight="1">
      <c r="A1" s="18" t="s">
        <v>423</v>
      </c>
      <c r="B1" s="17" t="s">
        <v>771</v>
      </c>
      <c r="E1" s="17"/>
      <c r="Q1" t="s">
        <v>772</v>
      </c>
      <c r="R1" t="s">
        <v>773</v>
      </c>
      <c r="S1" t="s">
        <v>774</v>
      </c>
      <c r="T1" t="s">
        <v>775</v>
      </c>
      <c r="AA1" s="17"/>
    </row>
    <row r="2" spans="1:27">
      <c r="A2" t="s">
        <v>425</v>
      </c>
      <c r="Q2" t="s">
        <v>776</v>
      </c>
      <c r="R2" s="22">
        <v>0.59599999999999997</v>
      </c>
      <c r="S2" s="23">
        <v>0.83840000000000003</v>
      </c>
      <c r="T2" s="21">
        <v>0.2424</v>
      </c>
    </row>
    <row r="3" spans="1:27">
      <c r="A3" t="s">
        <v>416</v>
      </c>
      <c r="Q3" t="s">
        <v>777</v>
      </c>
      <c r="R3" s="23">
        <v>0.91920000000000002</v>
      </c>
      <c r="S3" s="23">
        <v>0.94950000000000001</v>
      </c>
      <c r="T3" s="21">
        <v>3.0300000000000001E-2</v>
      </c>
    </row>
    <row r="4" spans="1:27">
      <c r="A4" t="s">
        <v>427</v>
      </c>
    </row>
    <row r="5" spans="1:27">
      <c r="A5" t="s">
        <v>428</v>
      </c>
    </row>
    <row r="8" spans="1:27">
      <c r="A8" s="46" t="s">
        <v>429</v>
      </c>
      <c r="B8" s="46"/>
      <c r="C8" s="46"/>
      <c r="D8" s="46"/>
      <c r="E8" s="46"/>
      <c r="F8" s="47" t="s">
        <v>430</v>
      </c>
      <c r="G8" s="47"/>
      <c r="H8" s="47"/>
      <c r="I8" s="47"/>
      <c r="J8" s="47"/>
      <c r="K8" s="47"/>
      <c r="L8" s="47"/>
    </row>
    <row r="9" spans="1:27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432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Q9" s="19" t="s">
        <v>698</v>
      </c>
      <c r="R9" s="20" t="s">
        <v>699</v>
      </c>
      <c r="S9" s="20" t="s">
        <v>700</v>
      </c>
      <c r="T9" s="20" t="s">
        <v>701</v>
      </c>
      <c r="U9" s="20" t="s">
        <v>702</v>
      </c>
      <c r="V9" s="20" t="s">
        <v>703</v>
      </c>
      <c r="W9" s="20" t="s">
        <v>778</v>
      </c>
      <c r="X9" s="20" t="s">
        <v>705</v>
      </c>
      <c r="Y9" s="20" t="s">
        <v>706</v>
      </c>
      <c r="Z9" s="20" t="s">
        <v>707</v>
      </c>
    </row>
    <row r="10" spans="1:27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16</v>
      </c>
      <c r="G10" t="s">
        <v>21</v>
      </c>
      <c r="H10" t="s">
        <v>22</v>
      </c>
      <c r="L10" t="s">
        <v>23</v>
      </c>
      <c r="M10" t="s">
        <v>24</v>
      </c>
      <c r="N10" t="s">
        <v>25</v>
      </c>
      <c r="Q10" s="11" t="s">
        <v>21</v>
      </c>
      <c r="R10" s="12" t="s">
        <v>18</v>
      </c>
      <c r="S10" s="12" t="s">
        <v>441</v>
      </c>
      <c r="T10" s="12">
        <v>0.99709999999999999</v>
      </c>
      <c r="U10" s="12">
        <v>163.07409999999999</v>
      </c>
      <c r="V10" s="12" t="s">
        <v>779</v>
      </c>
      <c r="W10" s="12">
        <v>4</v>
      </c>
      <c r="X10" s="12" t="b">
        <v>1</v>
      </c>
      <c r="Y10" s="12" t="b">
        <v>0</v>
      </c>
      <c r="Z10" s="13" t="b">
        <v>1</v>
      </c>
    </row>
    <row r="11" spans="1:27">
      <c r="A11" t="s">
        <v>26</v>
      </c>
      <c r="B11" t="s">
        <v>27</v>
      </c>
      <c r="C11" t="s">
        <v>28</v>
      </c>
      <c r="D11" t="s">
        <v>19</v>
      </c>
      <c r="E11" t="s">
        <v>20</v>
      </c>
      <c r="F11" t="s">
        <v>29</v>
      </c>
      <c r="G11" t="s">
        <v>30</v>
      </c>
      <c r="L11" t="s">
        <v>23</v>
      </c>
      <c r="M11" t="s">
        <v>24</v>
      </c>
      <c r="N11" t="s">
        <v>25</v>
      </c>
      <c r="Q11" s="11" t="s">
        <v>30</v>
      </c>
      <c r="R11" s="12" t="s">
        <v>28</v>
      </c>
      <c r="S11" s="12" t="s">
        <v>181</v>
      </c>
      <c r="T11" s="12">
        <v>0.88749999999999996</v>
      </c>
      <c r="U11" s="12">
        <v>291.66609999999997</v>
      </c>
      <c r="V11" s="12" t="s">
        <v>780</v>
      </c>
      <c r="W11" s="12">
        <v>2</v>
      </c>
      <c r="X11" s="12" t="b">
        <v>1</v>
      </c>
      <c r="Y11" s="12" t="b">
        <v>0</v>
      </c>
      <c r="Z11" s="13" t="b">
        <v>1</v>
      </c>
    </row>
    <row r="12" spans="1:27">
      <c r="A12" t="s">
        <v>32</v>
      </c>
      <c r="B12" t="s">
        <v>33</v>
      </c>
      <c r="C12" t="s">
        <v>34</v>
      </c>
      <c r="D12" t="s">
        <v>19</v>
      </c>
      <c r="E12" t="s">
        <v>20</v>
      </c>
      <c r="F12" t="s">
        <v>32</v>
      </c>
      <c r="G12" t="s">
        <v>35</v>
      </c>
      <c r="H12" t="s">
        <v>22</v>
      </c>
      <c r="I12" t="s">
        <v>36</v>
      </c>
      <c r="L12" t="s">
        <v>23</v>
      </c>
      <c r="M12" t="s">
        <v>24</v>
      </c>
      <c r="N12" t="s">
        <v>25</v>
      </c>
      <c r="Q12" s="11" t="s">
        <v>35</v>
      </c>
      <c r="R12" s="12" t="s">
        <v>34</v>
      </c>
      <c r="S12" s="12" t="s">
        <v>34</v>
      </c>
      <c r="T12" s="12">
        <v>0.94969999999999999</v>
      </c>
      <c r="U12" s="12">
        <v>120.16630000000001</v>
      </c>
      <c r="V12" s="12" t="s">
        <v>781</v>
      </c>
      <c r="W12" s="12">
        <v>1</v>
      </c>
      <c r="X12" s="12" t="b">
        <v>1</v>
      </c>
      <c r="Y12" s="12" t="b">
        <v>1</v>
      </c>
      <c r="Z12" s="13" t="b">
        <v>1</v>
      </c>
    </row>
    <row r="13" spans="1:27">
      <c r="A13" t="s">
        <v>37</v>
      </c>
      <c r="B13" t="s">
        <v>38</v>
      </c>
      <c r="C13" t="s">
        <v>39</v>
      </c>
      <c r="D13" t="s">
        <v>19</v>
      </c>
      <c r="E13" t="s">
        <v>20</v>
      </c>
      <c r="F13" t="s">
        <v>37</v>
      </c>
      <c r="G13" t="s">
        <v>40</v>
      </c>
      <c r="H13" t="s">
        <v>22</v>
      </c>
      <c r="L13" t="s">
        <v>23</v>
      </c>
      <c r="M13" t="s">
        <v>24</v>
      </c>
      <c r="N13" t="s">
        <v>25</v>
      </c>
      <c r="Q13" s="11" t="s">
        <v>446</v>
      </c>
      <c r="R13" s="12" t="s">
        <v>39</v>
      </c>
      <c r="S13" s="12" t="s">
        <v>39</v>
      </c>
      <c r="T13" s="12">
        <v>1.0971</v>
      </c>
      <c r="U13" s="12">
        <v>310.0684</v>
      </c>
      <c r="V13" s="12" t="s">
        <v>782</v>
      </c>
      <c r="W13" s="12">
        <v>1</v>
      </c>
      <c r="X13" s="12" t="b">
        <v>1</v>
      </c>
      <c r="Y13" s="12" t="b">
        <v>1</v>
      </c>
      <c r="Z13" s="13" t="b">
        <v>1</v>
      </c>
    </row>
    <row r="14" spans="1:27">
      <c r="A14" t="s">
        <v>41</v>
      </c>
      <c r="B14" t="s">
        <v>42</v>
      </c>
      <c r="C14" t="s">
        <v>43</v>
      </c>
      <c r="D14" t="s">
        <v>44</v>
      </c>
      <c r="E14" t="s">
        <v>20</v>
      </c>
      <c r="F14" t="s">
        <v>45</v>
      </c>
      <c r="G14" t="s">
        <v>46</v>
      </c>
      <c r="H14" t="s">
        <v>47</v>
      </c>
      <c r="I14" t="s">
        <v>48</v>
      </c>
      <c r="L14" t="s">
        <v>23</v>
      </c>
      <c r="M14" t="s">
        <v>24</v>
      </c>
      <c r="N14" t="s">
        <v>25</v>
      </c>
      <c r="Q14" s="11" t="s">
        <v>46</v>
      </c>
      <c r="R14" s="12" t="s">
        <v>43</v>
      </c>
      <c r="S14" s="12" t="s">
        <v>43</v>
      </c>
      <c r="T14" s="12">
        <v>1.1091</v>
      </c>
      <c r="U14" s="12">
        <v>176.15729999999999</v>
      </c>
      <c r="V14" s="12" t="s">
        <v>783</v>
      </c>
      <c r="W14" s="12">
        <v>1</v>
      </c>
      <c r="X14" s="12" t="b">
        <v>1</v>
      </c>
      <c r="Y14" s="12" t="b">
        <v>1</v>
      </c>
      <c r="Z14" s="13" t="b">
        <v>1</v>
      </c>
    </row>
    <row r="15" spans="1:27">
      <c r="A15" t="s">
        <v>41</v>
      </c>
      <c r="B15" t="s">
        <v>42</v>
      </c>
      <c r="C15" t="s">
        <v>50</v>
      </c>
      <c r="D15" t="s">
        <v>19</v>
      </c>
      <c r="E15" t="s">
        <v>20</v>
      </c>
      <c r="F15" t="s">
        <v>45</v>
      </c>
      <c r="G15" t="s">
        <v>51</v>
      </c>
      <c r="H15" t="s">
        <v>22</v>
      </c>
      <c r="I15" t="s">
        <v>52</v>
      </c>
      <c r="L15" t="s">
        <v>23</v>
      </c>
      <c r="M15" t="s">
        <v>24</v>
      </c>
      <c r="N15" t="s">
        <v>25</v>
      </c>
      <c r="Q15" s="11" t="s">
        <v>51</v>
      </c>
      <c r="R15" s="12" t="s">
        <v>50</v>
      </c>
      <c r="S15" s="12" t="s">
        <v>50</v>
      </c>
      <c r="T15" s="12">
        <v>1.0166999999999999</v>
      </c>
      <c r="U15" s="12">
        <v>185.02250000000001</v>
      </c>
      <c r="V15" s="12" t="s">
        <v>784</v>
      </c>
      <c r="W15" s="12">
        <v>1</v>
      </c>
      <c r="X15" s="12" t="b">
        <v>1</v>
      </c>
      <c r="Y15" s="12" t="b">
        <v>1</v>
      </c>
      <c r="Z15" s="13" t="b">
        <v>1</v>
      </c>
    </row>
    <row r="16" spans="1:27">
      <c r="A16" t="s">
        <v>53</v>
      </c>
      <c r="B16" t="s">
        <v>54</v>
      </c>
      <c r="C16" t="s">
        <v>55</v>
      </c>
      <c r="D16" t="s">
        <v>19</v>
      </c>
      <c r="E16" t="s">
        <v>20</v>
      </c>
      <c r="F16" t="s">
        <v>53</v>
      </c>
      <c r="G16" t="s">
        <v>56</v>
      </c>
      <c r="H16" t="s">
        <v>22</v>
      </c>
      <c r="I16" t="s">
        <v>57</v>
      </c>
      <c r="L16" t="s">
        <v>23</v>
      </c>
      <c r="M16" t="s">
        <v>24</v>
      </c>
      <c r="N16" t="s">
        <v>25</v>
      </c>
      <c r="Q16" s="11" t="s">
        <v>450</v>
      </c>
      <c r="R16" s="12" t="s">
        <v>55</v>
      </c>
      <c r="S16" s="12" t="s">
        <v>55</v>
      </c>
      <c r="T16" s="12">
        <v>1.0072000000000001</v>
      </c>
      <c r="U16" s="12">
        <v>174.06059999999999</v>
      </c>
      <c r="V16" s="12" t="s">
        <v>785</v>
      </c>
      <c r="W16" s="12">
        <v>1</v>
      </c>
      <c r="X16" s="12" t="b">
        <v>1</v>
      </c>
      <c r="Y16" s="12" t="b">
        <v>1</v>
      </c>
      <c r="Z16" s="13" t="b">
        <v>1</v>
      </c>
    </row>
    <row r="17" spans="1:26">
      <c r="A17" t="s">
        <v>58</v>
      </c>
      <c r="B17" t="s">
        <v>59</v>
      </c>
      <c r="C17" t="s">
        <v>60</v>
      </c>
      <c r="D17" t="s">
        <v>44</v>
      </c>
      <c r="E17" t="s">
        <v>20</v>
      </c>
      <c r="F17" t="s">
        <v>61</v>
      </c>
      <c r="G17" t="s">
        <v>62</v>
      </c>
      <c r="H17" t="s">
        <v>47</v>
      </c>
      <c r="L17" t="s">
        <v>23</v>
      </c>
      <c r="M17" t="s">
        <v>24</v>
      </c>
      <c r="N17" t="s">
        <v>25</v>
      </c>
      <c r="Q17" s="11" t="s">
        <v>62</v>
      </c>
      <c r="R17" s="12" t="s">
        <v>60</v>
      </c>
      <c r="S17" s="12" t="s">
        <v>452</v>
      </c>
      <c r="T17" s="12">
        <v>0.98719999999999997</v>
      </c>
      <c r="U17" s="12">
        <v>80.196700000000007</v>
      </c>
      <c r="V17" s="12" t="s">
        <v>786</v>
      </c>
      <c r="W17" s="12">
        <v>5</v>
      </c>
      <c r="X17" s="12" t="b">
        <v>1</v>
      </c>
      <c r="Y17" s="12" t="b">
        <v>0</v>
      </c>
      <c r="Z17" s="13" t="b">
        <v>1</v>
      </c>
    </row>
    <row r="18" spans="1:26">
      <c r="A18" t="s">
        <v>63</v>
      </c>
      <c r="B18" t="s">
        <v>64</v>
      </c>
      <c r="C18" t="s">
        <v>65</v>
      </c>
      <c r="D18" t="s">
        <v>19</v>
      </c>
      <c r="E18" t="s">
        <v>20</v>
      </c>
      <c r="F18" t="s">
        <v>66</v>
      </c>
      <c r="G18" t="s">
        <v>67</v>
      </c>
      <c r="H18" t="s">
        <v>22</v>
      </c>
      <c r="L18" t="s">
        <v>23</v>
      </c>
      <c r="M18" t="s">
        <v>24</v>
      </c>
      <c r="N18" t="s">
        <v>25</v>
      </c>
      <c r="Q18" s="11" t="s">
        <v>67</v>
      </c>
      <c r="R18" s="12" t="s">
        <v>65</v>
      </c>
      <c r="S18" s="12" t="s">
        <v>65</v>
      </c>
      <c r="T18" s="12">
        <v>1.0891</v>
      </c>
      <c r="U18" s="12">
        <v>294.66340000000002</v>
      </c>
      <c r="V18" s="12" t="s">
        <v>787</v>
      </c>
      <c r="W18" s="12">
        <v>1</v>
      </c>
      <c r="X18" s="12" t="b">
        <v>1</v>
      </c>
      <c r="Y18" s="12" t="b">
        <v>1</v>
      </c>
      <c r="Z18" s="13" t="b">
        <v>1</v>
      </c>
    </row>
    <row r="19" spans="1:26">
      <c r="A19" t="s">
        <v>68</v>
      </c>
      <c r="B19" t="s">
        <v>69</v>
      </c>
      <c r="C19" t="s">
        <v>70</v>
      </c>
      <c r="D19" t="s">
        <v>19</v>
      </c>
      <c r="E19" t="s">
        <v>20</v>
      </c>
      <c r="F19" t="s">
        <v>71</v>
      </c>
      <c r="G19" t="s">
        <v>72</v>
      </c>
      <c r="H19" t="s">
        <v>22</v>
      </c>
      <c r="I19" t="s">
        <v>73</v>
      </c>
      <c r="L19" t="s">
        <v>23</v>
      </c>
      <c r="M19" t="s">
        <v>24</v>
      </c>
      <c r="N19" t="s">
        <v>25</v>
      </c>
      <c r="Q19" s="11" t="s">
        <v>72</v>
      </c>
      <c r="R19" s="12" t="s">
        <v>70</v>
      </c>
      <c r="S19" s="12" t="s">
        <v>70</v>
      </c>
      <c r="T19" s="12">
        <v>0.88980000000000004</v>
      </c>
      <c r="U19" s="12">
        <v>81.579599999999999</v>
      </c>
      <c r="V19" s="12" t="s">
        <v>788</v>
      </c>
      <c r="W19" s="12">
        <v>1</v>
      </c>
      <c r="X19" s="12" t="b">
        <v>1</v>
      </c>
      <c r="Y19" s="12" t="b">
        <v>1</v>
      </c>
      <c r="Z19" s="13" t="b">
        <v>1</v>
      </c>
    </row>
    <row r="20" spans="1:26">
      <c r="A20" t="s">
        <v>68</v>
      </c>
      <c r="B20" t="s">
        <v>69</v>
      </c>
      <c r="C20" t="s">
        <v>70</v>
      </c>
      <c r="D20" t="s">
        <v>19</v>
      </c>
      <c r="E20" t="s">
        <v>20</v>
      </c>
      <c r="F20" t="s">
        <v>74</v>
      </c>
      <c r="G20" t="s">
        <v>75</v>
      </c>
      <c r="H20" t="s">
        <v>22</v>
      </c>
      <c r="I20" t="s">
        <v>73</v>
      </c>
      <c r="L20" t="s">
        <v>23</v>
      </c>
      <c r="M20" t="s">
        <v>24</v>
      </c>
      <c r="N20" t="s">
        <v>25</v>
      </c>
      <c r="Q20" s="11" t="s">
        <v>618</v>
      </c>
      <c r="R20" s="12" t="s">
        <v>619</v>
      </c>
      <c r="S20" s="12" t="s">
        <v>70</v>
      </c>
      <c r="T20" s="12">
        <v>1.0411999999999999</v>
      </c>
      <c r="U20" s="12">
        <v>216.55529999999999</v>
      </c>
      <c r="V20" s="12" t="s">
        <v>789</v>
      </c>
      <c r="W20" s="12"/>
      <c r="X20" s="12" t="b">
        <v>1</v>
      </c>
      <c r="Y20" s="12" t="b">
        <v>0</v>
      </c>
      <c r="Z20" s="13" t="b">
        <v>0</v>
      </c>
    </row>
    <row r="21" spans="1:26">
      <c r="A21" t="s">
        <v>76</v>
      </c>
      <c r="B21" t="s">
        <v>77</v>
      </c>
      <c r="C21" t="s">
        <v>78</v>
      </c>
      <c r="D21" t="s">
        <v>79</v>
      </c>
      <c r="E21" t="s">
        <v>20</v>
      </c>
      <c r="F21" t="s">
        <v>80</v>
      </c>
      <c r="G21" t="s">
        <v>81</v>
      </c>
      <c r="H21" t="s">
        <v>82</v>
      </c>
      <c r="L21" t="s">
        <v>23</v>
      </c>
      <c r="M21" t="s">
        <v>24</v>
      </c>
      <c r="N21" t="s">
        <v>25</v>
      </c>
      <c r="Q21" s="11" t="s">
        <v>81</v>
      </c>
      <c r="R21" s="12" t="s">
        <v>78</v>
      </c>
      <c r="S21" s="12" t="s">
        <v>78</v>
      </c>
      <c r="T21" s="12">
        <v>1.0593999999999999</v>
      </c>
      <c r="U21" s="12">
        <v>243.44720000000001</v>
      </c>
      <c r="V21" s="12" t="s">
        <v>790</v>
      </c>
      <c r="W21" s="12">
        <v>1</v>
      </c>
      <c r="X21" s="12" t="b">
        <v>1</v>
      </c>
      <c r="Y21" s="12" t="b">
        <v>1</v>
      </c>
      <c r="Z21" s="13" t="b">
        <v>1</v>
      </c>
    </row>
    <row r="22" spans="1:26">
      <c r="A22" t="s">
        <v>83</v>
      </c>
      <c r="B22" t="s">
        <v>84</v>
      </c>
      <c r="C22" t="s">
        <v>85</v>
      </c>
      <c r="D22" t="s">
        <v>79</v>
      </c>
      <c r="E22" t="s">
        <v>20</v>
      </c>
      <c r="F22" t="s">
        <v>86</v>
      </c>
      <c r="G22" t="s">
        <v>87</v>
      </c>
      <c r="H22" t="s">
        <v>82</v>
      </c>
      <c r="L22" t="s">
        <v>23</v>
      </c>
      <c r="M22" t="s">
        <v>24</v>
      </c>
      <c r="N22" t="s">
        <v>25</v>
      </c>
      <c r="Q22" s="11" t="s">
        <v>87</v>
      </c>
      <c r="R22" s="12" t="s">
        <v>85</v>
      </c>
      <c r="S22" s="12" t="s">
        <v>85</v>
      </c>
      <c r="T22" s="12">
        <v>0.91459999999999997</v>
      </c>
      <c r="U22" s="12">
        <v>95.7898</v>
      </c>
      <c r="V22" s="12" t="s">
        <v>791</v>
      </c>
      <c r="W22" s="12">
        <v>1</v>
      </c>
      <c r="X22" s="12" t="b">
        <v>1</v>
      </c>
      <c r="Y22" s="12" t="b">
        <v>1</v>
      </c>
      <c r="Z22" s="13" t="b">
        <v>1</v>
      </c>
    </row>
    <row r="23" spans="1:26">
      <c r="A23" t="s">
        <v>88</v>
      </c>
      <c r="B23" t="s">
        <v>89</v>
      </c>
      <c r="C23" t="s">
        <v>90</v>
      </c>
      <c r="D23" t="s">
        <v>19</v>
      </c>
      <c r="E23" t="s">
        <v>20</v>
      </c>
      <c r="F23" t="s">
        <v>91</v>
      </c>
      <c r="G23" t="s">
        <v>92</v>
      </c>
      <c r="H23" t="s">
        <v>22</v>
      </c>
      <c r="I23" t="s">
        <v>93</v>
      </c>
      <c r="L23" t="s">
        <v>23</v>
      </c>
      <c r="M23" t="s">
        <v>24</v>
      </c>
      <c r="N23" t="s">
        <v>25</v>
      </c>
      <c r="Q23" s="11" t="s">
        <v>92</v>
      </c>
      <c r="R23" s="12" t="s">
        <v>90</v>
      </c>
      <c r="S23" s="12" t="s">
        <v>90</v>
      </c>
      <c r="T23" s="12">
        <v>1.2</v>
      </c>
      <c r="U23" s="12">
        <v>764.13829999999996</v>
      </c>
      <c r="V23" s="12" t="s">
        <v>792</v>
      </c>
      <c r="W23" s="12">
        <v>1</v>
      </c>
      <c r="X23" s="12" t="b">
        <v>1</v>
      </c>
      <c r="Y23" s="12" t="b">
        <v>1</v>
      </c>
      <c r="Z23" s="13" t="b">
        <v>1</v>
      </c>
    </row>
    <row r="24" spans="1:26">
      <c r="A24" t="s">
        <v>94</v>
      </c>
      <c r="B24" t="s">
        <v>95</v>
      </c>
      <c r="C24" t="s">
        <v>96</v>
      </c>
      <c r="D24" t="s">
        <v>44</v>
      </c>
      <c r="E24" t="s">
        <v>20</v>
      </c>
      <c r="F24" t="s">
        <v>94</v>
      </c>
      <c r="G24" t="s">
        <v>97</v>
      </c>
      <c r="H24" t="s">
        <v>47</v>
      </c>
      <c r="I24" t="s">
        <v>98</v>
      </c>
      <c r="L24" t="s">
        <v>23</v>
      </c>
      <c r="M24" t="s">
        <v>24</v>
      </c>
      <c r="N24" t="s">
        <v>25</v>
      </c>
      <c r="Q24" s="11" t="s">
        <v>97</v>
      </c>
      <c r="R24" s="12" t="s">
        <v>96</v>
      </c>
      <c r="S24" s="12" t="s">
        <v>452</v>
      </c>
      <c r="T24" s="12">
        <v>0.98719999999999997</v>
      </c>
      <c r="U24" s="12">
        <v>80.196700000000007</v>
      </c>
      <c r="V24" s="12" t="s">
        <v>793</v>
      </c>
      <c r="W24" s="12">
        <v>2</v>
      </c>
      <c r="X24" s="12" t="b">
        <v>1</v>
      </c>
      <c r="Y24" s="12" t="b">
        <v>0</v>
      </c>
      <c r="Z24" s="13" t="b">
        <v>1</v>
      </c>
    </row>
    <row r="25" spans="1:26">
      <c r="A25" t="s">
        <v>99</v>
      </c>
      <c r="B25" t="s">
        <v>100</v>
      </c>
      <c r="C25" t="s">
        <v>101</v>
      </c>
      <c r="D25" t="s">
        <v>44</v>
      </c>
      <c r="E25" t="s">
        <v>20</v>
      </c>
      <c r="F25" t="s">
        <v>102</v>
      </c>
      <c r="G25" t="s">
        <v>103</v>
      </c>
      <c r="H25" t="s">
        <v>47</v>
      </c>
      <c r="I25" t="s">
        <v>104</v>
      </c>
      <c r="L25" t="s">
        <v>23</v>
      </c>
      <c r="M25" t="s">
        <v>24</v>
      </c>
      <c r="N25" t="s">
        <v>25</v>
      </c>
      <c r="Q25" s="11" t="s">
        <v>103</v>
      </c>
      <c r="R25" s="12" t="s">
        <v>101</v>
      </c>
      <c r="S25" s="12" t="s">
        <v>101</v>
      </c>
      <c r="T25" s="12">
        <v>1.1752</v>
      </c>
      <c r="U25" s="12">
        <v>269.404</v>
      </c>
      <c r="V25" s="12" t="s">
        <v>794</v>
      </c>
      <c r="W25" s="12">
        <v>1</v>
      </c>
      <c r="X25" s="12" t="b">
        <v>1</v>
      </c>
      <c r="Y25" s="12" t="b">
        <v>1</v>
      </c>
      <c r="Z25" s="13" t="b">
        <v>1</v>
      </c>
    </row>
    <row r="26" spans="1:26">
      <c r="A26" t="s">
        <v>105</v>
      </c>
      <c r="B26" t="s">
        <v>106</v>
      </c>
      <c r="C26" t="s">
        <v>107</v>
      </c>
      <c r="D26" t="s">
        <v>19</v>
      </c>
      <c r="E26" t="s">
        <v>20</v>
      </c>
      <c r="F26" t="s">
        <v>108</v>
      </c>
      <c r="G26" t="s">
        <v>109</v>
      </c>
      <c r="H26" t="s">
        <v>22</v>
      </c>
      <c r="I26" t="s">
        <v>110</v>
      </c>
      <c r="L26" t="s">
        <v>23</v>
      </c>
      <c r="M26" t="s">
        <v>24</v>
      </c>
      <c r="N26" t="s">
        <v>25</v>
      </c>
      <c r="Q26" s="11" t="s">
        <v>109</v>
      </c>
      <c r="R26" s="12" t="s">
        <v>107</v>
      </c>
      <c r="S26" s="12" t="s">
        <v>107</v>
      </c>
      <c r="T26" s="12">
        <v>0.96319999999999995</v>
      </c>
      <c r="U26" s="12">
        <v>131.11080000000001</v>
      </c>
      <c r="V26" s="12" t="s">
        <v>795</v>
      </c>
      <c r="W26" s="12">
        <v>1</v>
      </c>
      <c r="X26" s="12" t="b">
        <v>1</v>
      </c>
      <c r="Y26" s="12" t="b">
        <v>1</v>
      </c>
      <c r="Z26" s="13" t="b">
        <v>1</v>
      </c>
    </row>
    <row r="27" spans="1:26">
      <c r="A27" t="s">
        <v>111</v>
      </c>
      <c r="B27" t="s">
        <v>112</v>
      </c>
      <c r="C27" t="s">
        <v>113</v>
      </c>
      <c r="D27" t="s">
        <v>19</v>
      </c>
      <c r="E27" t="s">
        <v>20</v>
      </c>
      <c r="F27" t="s">
        <v>111</v>
      </c>
      <c r="G27" t="s">
        <v>114</v>
      </c>
      <c r="H27" t="s">
        <v>22</v>
      </c>
      <c r="L27" t="s">
        <v>23</v>
      </c>
      <c r="M27" t="s">
        <v>24</v>
      </c>
      <c r="N27" t="s">
        <v>25</v>
      </c>
      <c r="Q27" s="11" t="s">
        <v>114</v>
      </c>
      <c r="R27" s="12" t="s">
        <v>113</v>
      </c>
      <c r="S27" s="12" t="s">
        <v>113</v>
      </c>
      <c r="T27" s="12">
        <v>0.89129999999999998</v>
      </c>
      <c r="U27" s="12">
        <v>82.384299999999996</v>
      </c>
      <c r="V27" s="12" t="s">
        <v>796</v>
      </c>
      <c r="W27" s="12">
        <v>1</v>
      </c>
      <c r="X27" s="12" t="b">
        <v>1</v>
      </c>
      <c r="Y27" s="12" t="b">
        <v>1</v>
      </c>
      <c r="Z27" s="13" t="b">
        <v>1</v>
      </c>
    </row>
    <row r="28" spans="1:26">
      <c r="A28" t="s">
        <v>115</v>
      </c>
      <c r="B28" t="s">
        <v>116</v>
      </c>
      <c r="C28" t="s">
        <v>117</v>
      </c>
      <c r="D28" t="s">
        <v>19</v>
      </c>
      <c r="E28" t="s">
        <v>20</v>
      </c>
      <c r="F28" t="s">
        <v>118</v>
      </c>
      <c r="G28" t="s">
        <v>119</v>
      </c>
      <c r="H28" t="s">
        <v>22</v>
      </c>
      <c r="I28" t="s">
        <v>120</v>
      </c>
      <c r="L28" t="s">
        <v>23</v>
      </c>
      <c r="M28" t="s">
        <v>24</v>
      </c>
      <c r="N28" t="s">
        <v>25</v>
      </c>
      <c r="Q28" s="11" t="s">
        <v>119</v>
      </c>
      <c r="R28" s="12" t="s">
        <v>117</v>
      </c>
      <c r="S28" s="12" t="s">
        <v>465</v>
      </c>
      <c r="T28" s="12">
        <v>0.84570000000000001</v>
      </c>
      <c r="U28" s="12">
        <v>61.276899999999998</v>
      </c>
      <c r="V28" s="12" t="s">
        <v>797</v>
      </c>
      <c r="W28" s="12">
        <v>3</v>
      </c>
      <c r="X28" s="12" t="b">
        <v>1</v>
      </c>
      <c r="Y28" s="12" t="b">
        <v>0</v>
      </c>
      <c r="Z28" s="13" t="b">
        <v>1</v>
      </c>
    </row>
    <row r="29" spans="1:26">
      <c r="A29" t="s">
        <v>115</v>
      </c>
      <c r="B29" t="s">
        <v>116</v>
      </c>
      <c r="C29" t="s">
        <v>117</v>
      </c>
      <c r="D29" t="s">
        <v>19</v>
      </c>
      <c r="E29" t="s">
        <v>20</v>
      </c>
      <c r="F29" t="s">
        <v>121</v>
      </c>
      <c r="G29" t="s">
        <v>122</v>
      </c>
      <c r="H29" t="s">
        <v>22</v>
      </c>
      <c r="I29" t="s">
        <v>123</v>
      </c>
      <c r="L29" t="s">
        <v>23</v>
      </c>
      <c r="M29" t="s">
        <v>24</v>
      </c>
      <c r="N29" t="s">
        <v>25</v>
      </c>
      <c r="Q29" s="11" t="s">
        <v>122</v>
      </c>
      <c r="R29" s="12" t="s">
        <v>117</v>
      </c>
      <c r="S29" s="12" t="s">
        <v>117</v>
      </c>
      <c r="T29" s="12">
        <v>1.0791999999999999</v>
      </c>
      <c r="U29" s="12">
        <v>276.42349999999999</v>
      </c>
      <c r="V29" s="12" t="s">
        <v>798</v>
      </c>
      <c r="W29" s="12">
        <v>1</v>
      </c>
      <c r="X29" s="12" t="b">
        <v>1</v>
      </c>
      <c r="Y29" s="12" t="b">
        <v>1</v>
      </c>
      <c r="Z29" s="13" t="b">
        <v>1</v>
      </c>
    </row>
    <row r="30" spans="1:26">
      <c r="A30" t="s">
        <v>124</v>
      </c>
      <c r="B30" t="s">
        <v>125</v>
      </c>
      <c r="C30" t="s">
        <v>126</v>
      </c>
      <c r="D30" t="s">
        <v>127</v>
      </c>
      <c r="E30" t="s">
        <v>127</v>
      </c>
      <c r="F30" t="s">
        <v>128</v>
      </c>
      <c r="G30" t="s">
        <v>128</v>
      </c>
      <c r="L30" t="s">
        <v>23</v>
      </c>
      <c r="M30" t="s">
        <v>24</v>
      </c>
      <c r="N30" t="s">
        <v>25</v>
      </c>
      <c r="Q30" s="11" t="s">
        <v>128</v>
      </c>
      <c r="R30" s="12" t="s">
        <v>126</v>
      </c>
      <c r="S30" s="12" t="s">
        <v>468</v>
      </c>
      <c r="T30" s="12">
        <v>0.78039999999999998</v>
      </c>
      <c r="U30" s="12">
        <v>146.48779999999999</v>
      </c>
      <c r="V30" s="12" t="s">
        <v>799</v>
      </c>
      <c r="W30" s="12">
        <v>3</v>
      </c>
      <c r="X30" s="12" t="b">
        <v>1</v>
      </c>
      <c r="Y30" s="12" t="b">
        <v>0</v>
      </c>
      <c r="Z30" s="13" t="b">
        <v>1</v>
      </c>
    </row>
    <row r="31" spans="1:26">
      <c r="A31" t="s">
        <v>129</v>
      </c>
      <c r="B31" t="s">
        <v>130</v>
      </c>
      <c r="C31" t="s">
        <v>131</v>
      </c>
      <c r="D31" t="s">
        <v>127</v>
      </c>
      <c r="E31" t="s">
        <v>127</v>
      </c>
      <c r="F31" t="s">
        <v>132</v>
      </c>
      <c r="G31" t="s">
        <v>133</v>
      </c>
      <c r="L31" t="s">
        <v>23</v>
      </c>
      <c r="M31" t="s">
        <v>24</v>
      </c>
      <c r="N31" t="s">
        <v>25</v>
      </c>
      <c r="Q31" s="11" t="s">
        <v>133</v>
      </c>
      <c r="R31" s="12" t="s">
        <v>131</v>
      </c>
      <c r="S31" s="12" t="s">
        <v>470</v>
      </c>
      <c r="T31" s="12">
        <v>0.83750000000000002</v>
      </c>
      <c r="U31" s="12">
        <v>211.46199999999999</v>
      </c>
      <c r="V31" s="12" t="s">
        <v>800</v>
      </c>
      <c r="W31" s="12">
        <v>3</v>
      </c>
      <c r="X31" s="12" t="b">
        <v>1</v>
      </c>
      <c r="Y31" s="12" t="b">
        <v>0</v>
      </c>
      <c r="Z31" s="13" t="b">
        <v>1</v>
      </c>
    </row>
    <row r="32" spans="1:26">
      <c r="A32" t="s">
        <v>134</v>
      </c>
      <c r="B32" t="s">
        <v>135</v>
      </c>
      <c r="C32" t="s">
        <v>136</v>
      </c>
      <c r="D32" t="s">
        <v>19</v>
      </c>
      <c r="E32" t="s">
        <v>20</v>
      </c>
      <c r="F32" t="s">
        <v>134</v>
      </c>
      <c r="G32" t="s">
        <v>137</v>
      </c>
      <c r="H32" t="s">
        <v>22</v>
      </c>
      <c r="L32" t="s">
        <v>23</v>
      </c>
      <c r="M32" t="s">
        <v>24</v>
      </c>
      <c r="N32" t="s">
        <v>25</v>
      </c>
      <c r="Q32" s="11" t="s">
        <v>137</v>
      </c>
      <c r="R32" s="12" t="s">
        <v>136</v>
      </c>
      <c r="S32" s="12" t="s">
        <v>136</v>
      </c>
      <c r="T32" s="12">
        <v>1.0623</v>
      </c>
      <c r="U32" s="12">
        <v>248.06489999999999</v>
      </c>
      <c r="V32" s="12" t="s">
        <v>801</v>
      </c>
      <c r="W32" s="12">
        <v>1</v>
      </c>
      <c r="X32" s="12" t="b">
        <v>1</v>
      </c>
      <c r="Y32" s="12" t="b">
        <v>1</v>
      </c>
      <c r="Z32" s="13" t="b">
        <v>1</v>
      </c>
    </row>
    <row r="33" spans="1:26">
      <c r="A33" t="s">
        <v>138</v>
      </c>
      <c r="B33" t="s">
        <v>84</v>
      </c>
      <c r="C33" t="s">
        <v>139</v>
      </c>
      <c r="D33" t="s">
        <v>19</v>
      </c>
      <c r="E33" t="s">
        <v>20</v>
      </c>
      <c r="F33" t="s">
        <v>86</v>
      </c>
      <c r="G33" t="s">
        <v>140</v>
      </c>
      <c r="H33" t="s">
        <v>22</v>
      </c>
      <c r="I33" t="s">
        <v>141</v>
      </c>
      <c r="L33" t="s">
        <v>23</v>
      </c>
      <c r="M33" t="s">
        <v>24</v>
      </c>
      <c r="N33" t="s">
        <v>25</v>
      </c>
      <c r="Q33" s="11" t="s">
        <v>140</v>
      </c>
      <c r="R33" s="12" t="s">
        <v>139</v>
      </c>
      <c r="S33" s="12" t="s">
        <v>473</v>
      </c>
      <c r="T33" s="12">
        <v>0.93</v>
      </c>
      <c r="U33" s="12">
        <v>105.8326</v>
      </c>
      <c r="V33" s="12" t="s">
        <v>802</v>
      </c>
      <c r="W33" s="12">
        <v>2</v>
      </c>
      <c r="X33" s="12" t="b">
        <v>1</v>
      </c>
      <c r="Y33" s="12" t="b">
        <v>0</v>
      </c>
      <c r="Z33" s="13" t="b">
        <v>1</v>
      </c>
    </row>
    <row r="34" spans="1:26">
      <c r="A34" t="s">
        <v>142</v>
      </c>
      <c r="B34" t="s">
        <v>143</v>
      </c>
      <c r="C34" t="s">
        <v>144</v>
      </c>
      <c r="D34" t="s">
        <v>19</v>
      </c>
      <c r="E34" t="s">
        <v>20</v>
      </c>
      <c r="F34" t="s">
        <v>145</v>
      </c>
      <c r="G34" t="s">
        <v>146</v>
      </c>
      <c r="H34" t="s">
        <v>22</v>
      </c>
      <c r="L34" t="s">
        <v>23</v>
      </c>
      <c r="M34" t="s">
        <v>24</v>
      </c>
      <c r="N34" t="s">
        <v>25</v>
      </c>
      <c r="Q34" s="11" t="s">
        <v>146</v>
      </c>
      <c r="R34" s="12" t="s">
        <v>144</v>
      </c>
      <c r="S34" s="12" t="s">
        <v>144</v>
      </c>
      <c r="T34" s="12">
        <v>0.9627</v>
      </c>
      <c r="U34" s="12">
        <v>130.64340000000001</v>
      </c>
      <c r="V34" s="12" t="s">
        <v>803</v>
      </c>
      <c r="W34" s="12">
        <v>1</v>
      </c>
      <c r="X34" s="12" t="b">
        <v>1</v>
      </c>
      <c r="Y34" s="12" t="b">
        <v>1</v>
      </c>
      <c r="Z34" s="13" t="b">
        <v>1</v>
      </c>
    </row>
    <row r="35" spans="1:26">
      <c r="A35" t="s">
        <v>147</v>
      </c>
      <c r="B35" t="s">
        <v>148</v>
      </c>
      <c r="C35" t="s">
        <v>149</v>
      </c>
      <c r="D35" t="s">
        <v>19</v>
      </c>
      <c r="E35" t="s">
        <v>20</v>
      </c>
      <c r="F35" t="s">
        <v>147</v>
      </c>
      <c r="G35" t="s">
        <v>150</v>
      </c>
      <c r="H35" t="s">
        <v>22</v>
      </c>
      <c r="I35" t="s">
        <v>151</v>
      </c>
      <c r="L35" t="s">
        <v>23</v>
      </c>
      <c r="M35" t="s">
        <v>24</v>
      </c>
      <c r="N35" t="s">
        <v>25</v>
      </c>
      <c r="Q35" s="11" t="s">
        <v>150</v>
      </c>
      <c r="R35" s="12" t="s">
        <v>149</v>
      </c>
      <c r="S35" s="12" t="s">
        <v>149</v>
      </c>
      <c r="T35" s="12">
        <v>0.88149999999999995</v>
      </c>
      <c r="U35" s="12">
        <v>77.288200000000003</v>
      </c>
      <c r="V35" s="12" t="s">
        <v>804</v>
      </c>
      <c r="W35" s="12">
        <v>1</v>
      </c>
      <c r="X35" s="12" t="b">
        <v>1</v>
      </c>
      <c r="Y35" s="12" t="b">
        <v>1</v>
      </c>
      <c r="Z35" s="13" t="b">
        <v>1</v>
      </c>
    </row>
    <row r="36" spans="1:26">
      <c r="A36" s="2" t="s">
        <v>152</v>
      </c>
      <c r="B36" s="2" t="s">
        <v>152</v>
      </c>
      <c r="C36" s="2" t="s">
        <v>153</v>
      </c>
      <c r="D36" s="2" t="s">
        <v>19</v>
      </c>
      <c r="E36" s="2" t="s">
        <v>20</v>
      </c>
      <c r="F36" s="2" t="s">
        <v>154</v>
      </c>
      <c r="G36" s="2" t="s">
        <v>155</v>
      </c>
      <c r="H36" s="2" t="s">
        <v>22</v>
      </c>
      <c r="I36" s="2" t="s">
        <v>156</v>
      </c>
      <c r="J36" s="2"/>
      <c r="K36" s="2"/>
      <c r="L36" t="s">
        <v>23</v>
      </c>
      <c r="M36" t="s">
        <v>24</v>
      </c>
      <c r="N36" t="s">
        <v>49</v>
      </c>
      <c r="Q36" s="11" t="s">
        <v>155</v>
      </c>
      <c r="R36" s="12" t="s">
        <v>153</v>
      </c>
      <c r="S36" s="12" t="s">
        <v>153</v>
      </c>
      <c r="T36" s="12">
        <v>0.79649999999999999</v>
      </c>
      <c r="U36" s="12">
        <v>44.445999999999998</v>
      </c>
      <c r="V36" s="12" t="s">
        <v>805</v>
      </c>
      <c r="W36" s="12">
        <v>1</v>
      </c>
      <c r="X36" s="12" t="b">
        <v>1</v>
      </c>
      <c r="Y36" s="12" t="b">
        <v>1</v>
      </c>
      <c r="Z36" s="13" t="b">
        <v>1</v>
      </c>
    </row>
    <row r="37" spans="1:26">
      <c r="A37" s="2" t="s">
        <v>157</v>
      </c>
      <c r="B37" s="2" t="s">
        <v>158</v>
      </c>
      <c r="C37" s="2" t="s">
        <v>159</v>
      </c>
      <c r="D37" s="2" t="s">
        <v>19</v>
      </c>
      <c r="E37" s="2" t="s">
        <v>20</v>
      </c>
      <c r="F37" s="2" t="s">
        <v>157</v>
      </c>
      <c r="G37" s="2" t="s">
        <v>160</v>
      </c>
      <c r="H37" s="2" t="s">
        <v>22</v>
      </c>
      <c r="I37" s="2" t="s">
        <v>161</v>
      </c>
      <c r="J37" s="2"/>
      <c r="K37" s="2"/>
      <c r="L37" t="s">
        <v>23</v>
      </c>
      <c r="M37" t="s">
        <v>24</v>
      </c>
      <c r="N37" t="s">
        <v>25</v>
      </c>
      <c r="Q37" s="11" t="s">
        <v>160</v>
      </c>
      <c r="R37" s="12" t="s">
        <v>159</v>
      </c>
      <c r="S37" s="12" t="s">
        <v>159</v>
      </c>
      <c r="T37" s="12">
        <v>0.96740000000000004</v>
      </c>
      <c r="U37" s="12">
        <v>134.6472</v>
      </c>
      <c r="V37" s="12" t="s">
        <v>806</v>
      </c>
      <c r="W37" s="12">
        <v>1</v>
      </c>
      <c r="X37" s="12" t="b">
        <v>1</v>
      </c>
      <c r="Y37" s="12" t="b">
        <v>1</v>
      </c>
      <c r="Z37" s="13" t="b">
        <v>1</v>
      </c>
    </row>
    <row r="38" spans="1:26">
      <c r="A38" s="2" t="s">
        <v>162</v>
      </c>
      <c r="B38" s="2" t="s">
        <v>163</v>
      </c>
      <c r="C38" s="2" t="s">
        <v>164</v>
      </c>
      <c r="D38" s="2" t="s">
        <v>19</v>
      </c>
      <c r="E38" s="2" t="s">
        <v>20</v>
      </c>
      <c r="F38" s="2" t="s">
        <v>165</v>
      </c>
      <c r="G38" s="2" t="s">
        <v>166</v>
      </c>
      <c r="H38" s="2" t="s">
        <v>22</v>
      </c>
      <c r="I38" s="2" t="s">
        <v>167</v>
      </c>
      <c r="J38" s="2"/>
      <c r="K38" s="2"/>
      <c r="L38" t="s">
        <v>23</v>
      </c>
      <c r="M38" t="s">
        <v>24</v>
      </c>
      <c r="N38" t="s">
        <v>49</v>
      </c>
      <c r="Q38" s="11" t="s">
        <v>166</v>
      </c>
      <c r="R38" s="12" t="s">
        <v>164</v>
      </c>
      <c r="S38" s="12" t="s">
        <v>169</v>
      </c>
      <c r="T38" s="12">
        <v>1.0784</v>
      </c>
      <c r="U38" s="12">
        <v>274.976</v>
      </c>
      <c r="V38" s="12" t="s">
        <v>807</v>
      </c>
      <c r="W38" s="12"/>
      <c r="X38" s="12" t="b">
        <v>1</v>
      </c>
      <c r="Y38" s="12" t="b">
        <v>0</v>
      </c>
      <c r="Z38" s="13" t="b">
        <v>0</v>
      </c>
    </row>
    <row r="39" spans="1:26">
      <c r="A39" s="2" t="s">
        <v>165</v>
      </c>
      <c r="B39" s="2" t="s">
        <v>168</v>
      </c>
      <c r="C39" s="2" t="s">
        <v>169</v>
      </c>
      <c r="D39" s="2" t="s">
        <v>19</v>
      </c>
      <c r="E39" s="2" t="s">
        <v>20</v>
      </c>
      <c r="F39" s="2" t="s">
        <v>165</v>
      </c>
      <c r="G39" s="2" t="s">
        <v>170</v>
      </c>
      <c r="H39" s="2" t="s">
        <v>22</v>
      </c>
      <c r="I39" s="2" t="s">
        <v>171</v>
      </c>
      <c r="J39" s="2"/>
      <c r="K39" s="2"/>
      <c r="L39" t="s">
        <v>23</v>
      </c>
      <c r="M39" t="s">
        <v>24</v>
      </c>
      <c r="N39" t="s">
        <v>49</v>
      </c>
      <c r="Q39" s="11" t="s">
        <v>170</v>
      </c>
      <c r="R39" s="12" t="s">
        <v>169</v>
      </c>
      <c r="S39" s="12" t="s">
        <v>169</v>
      </c>
      <c r="T39" s="12">
        <v>1.0784</v>
      </c>
      <c r="U39" s="12">
        <v>274.976</v>
      </c>
      <c r="V39" s="12" t="s">
        <v>807</v>
      </c>
      <c r="W39" s="12">
        <v>1</v>
      </c>
      <c r="X39" s="12" t="b">
        <v>1</v>
      </c>
      <c r="Y39" s="12" t="b">
        <v>1</v>
      </c>
      <c r="Z39" s="13" t="b">
        <v>1</v>
      </c>
    </row>
    <row r="40" spans="1:26">
      <c r="A40" s="2" t="s">
        <v>172</v>
      </c>
      <c r="B40" s="2" t="s">
        <v>173</v>
      </c>
      <c r="C40" s="2" t="s">
        <v>174</v>
      </c>
      <c r="D40" s="2" t="s">
        <v>19</v>
      </c>
      <c r="E40" s="2" t="s">
        <v>20</v>
      </c>
      <c r="F40" s="2" t="s">
        <v>175</v>
      </c>
      <c r="G40" s="2" t="s">
        <v>176</v>
      </c>
      <c r="H40" s="2"/>
      <c r="I40" s="2"/>
      <c r="J40" s="2"/>
      <c r="K40" s="2"/>
      <c r="L40" t="s">
        <v>23</v>
      </c>
      <c r="M40" t="s">
        <v>24</v>
      </c>
      <c r="N40" t="s">
        <v>49</v>
      </c>
      <c r="Q40" s="11" t="s">
        <v>176</v>
      </c>
      <c r="R40" s="12" t="s">
        <v>174</v>
      </c>
      <c r="S40" s="12" t="s">
        <v>452</v>
      </c>
      <c r="T40" s="12">
        <v>0.98719999999999997</v>
      </c>
      <c r="U40" s="12">
        <v>80.196700000000007</v>
      </c>
      <c r="V40" s="12" t="s">
        <v>808</v>
      </c>
      <c r="W40" s="12">
        <v>17</v>
      </c>
      <c r="X40" s="12" t="b">
        <v>1</v>
      </c>
      <c r="Y40" s="12" t="b">
        <v>0</v>
      </c>
      <c r="Z40" s="13" t="b">
        <v>1</v>
      </c>
    </row>
    <row r="41" spans="1:26">
      <c r="A41" s="2" t="s">
        <v>172</v>
      </c>
      <c r="B41" s="2" t="s">
        <v>173</v>
      </c>
      <c r="C41" s="2" t="s">
        <v>174</v>
      </c>
      <c r="D41" s="2" t="s">
        <v>19</v>
      </c>
      <c r="E41" s="2" t="s">
        <v>20</v>
      </c>
      <c r="F41" s="2" t="s">
        <v>175</v>
      </c>
      <c r="G41" s="2" t="s">
        <v>176</v>
      </c>
      <c r="H41" s="2"/>
      <c r="I41" s="2"/>
      <c r="J41" s="2"/>
      <c r="K41" s="2"/>
      <c r="L41" t="s">
        <v>23</v>
      </c>
      <c r="M41" t="s">
        <v>24</v>
      </c>
      <c r="N41" t="s">
        <v>49</v>
      </c>
      <c r="Q41" s="11" t="s">
        <v>176</v>
      </c>
      <c r="R41" s="12" t="s">
        <v>174</v>
      </c>
      <c r="S41" s="12" t="s">
        <v>452</v>
      </c>
      <c r="T41" s="12">
        <v>0.98719999999999997</v>
      </c>
      <c r="U41" s="12">
        <v>80.196700000000007</v>
      </c>
      <c r="V41" s="12" t="s">
        <v>808</v>
      </c>
      <c r="W41" s="12">
        <v>17</v>
      </c>
      <c r="X41" s="12" t="b">
        <v>1</v>
      </c>
      <c r="Y41" s="12" t="b">
        <v>0</v>
      </c>
      <c r="Z41" s="13" t="b">
        <v>1</v>
      </c>
    </row>
    <row r="42" spans="1:26">
      <c r="A42" t="s">
        <v>16</v>
      </c>
      <c r="B42" t="s">
        <v>17</v>
      </c>
      <c r="C42" t="s">
        <v>177</v>
      </c>
      <c r="D42" t="s">
        <v>44</v>
      </c>
      <c r="E42" t="s">
        <v>20</v>
      </c>
      <c r="F42" t="s">
        <v>178</v>
      </c>
      <c r="H42" t="s">
        <v>179</v>
      </c>
      <c r="J42">
        <v>15670</v>
      </c>
      <c r="L42" t="s">
        <v>180</v>
      </c>
      <c r="M42" t="s">
        <v>24</v>
      </c>
      <c r="N42" t="s">
        <v>49</v>
      </c>
      <c r="Q42" s="11" t="s">
        <v>481</v>
      </c>
      <c r="R42" s="12" t="s">
        <v>177</v>
      </c>
      <c r="S42" s="12" t="s">
        <v>452</v>
      </c>
      <c r="T42" s="12">
        <v>0.98719999999999997</v>
      </c>
      <c r="U42" s="12">
        <v>80.196700000000007</v>
      </c>
      <c r="V42" s="12" t="s">
        <v>809</v>
      </c>
      <c r="W42" s="12"/>
      <c r="X42" s="12" t="b">
        <v>1</v>
      </c>
      <c r="Y42" s="12" t="b">
        <v>0</v>
      </c>
      <c r="Z42" s="13" t="b">
        <v>0</v>
      </c>
    </row>
    <row r="43" spans="1:26">
      <c r="A43" t="s">
        <v>26</v>
      </c>
      <c r="B43" t="s">
        <v>27</v>
      </c>
      <c r="C43" t="s">
        <v>181</v>
      </c>
      <c r="D43" t="s">
        <v>127</v>
      </c>
      <c r="E43" t="s">
        <v>127</v>
      </c>
      <c r="F43" t="s">
        <v>182</v>
      </c>
      <c r="H43" t="s">
        <v>183</v>
      </c>
      <c r="J43">
        <v>12867</v>
      </c>
      <c r="L43" t="s">
        <v>180</v>
      </c>
      <c r="M43" t="s">
        <v>24</v>
      </c>
      <c r="N43" t="s">
        <v>421</v>
      </c>
      <c r="Q43" s="11" t="s">
        <v>483</v>
      </c>
      <c r="R43" s="12" t="s">
        <v>181</v>
      </c>
      <c r="S43" s="12" t="s">
        <v>181</v>
      </c>
      <c r="T43" s="12">
        <v>1.1103000000000001</v>
      </c>
      <c r="U43" s="12">
        <v>337.46859999999998</v>
      </c>
      <c r="V43" s="12" t="s">
        <v>810</v>
      </c>
      <c r="W43" s="12">
        <v>1</v>
      </c>
      <c r="X43" s="12" t="b">
        <v>1</v>
      </c>
      <c r="Y43" s="12" t="b">
        <v>1</v>
      </c>
      <c r="Z43" s="13" t="b">
        <v>1</v>
      </c>
    </row>
    <row r="44" spans="1:26">
      <c r="A44" t="s">
        <v>184</v>
      </c>
      <c r="B44" t="s">
        <v>185</v>
      </c>
      <c r="C44" t="s">
        <v>186</v>
      </c>
      <c r="D44" t="s">
        <v>19</v>
      </c>
      <c r="E44" t="s">
        <v>20</v>
      </c>
      <c r="F44" t="s">
        <v>187</v>
      </c>
      <c r="H44" t="s">
        <v>188</v>
      </c>
      <c r="J44">
        <v>15010</v>
      </c>
      <c r="L44" t="s">
        <v>180</v>
      </c>
      <c r="M44" t="s">
        <v>24</v>
      </c>
      <c r="N44" t="s">
        <v>25</v>
      </c>
      <c r="Q44" s="11" t="s">
        <v>485</v>
      </c>
      <c r="R44" s="12" t="s">
        <v>186</v>
      </c>
      <c r="S44" s="12" t="s">
        <v>486</v>
      </c>
      <c r="T44" s="12">
        <v>0.95699999999999996</v>
      </c>
      <c r="U44" s="12">
        <v>125.9674</v>
      </c>
      <c r="V44" s="12" t="s">
        <v>811</v>
      </c>
      <c r="W44" s="12">
        <v>2</v>
      </c>
      <c r="X44" s="12" t="b">
        <v>1</v>
      </c>
      <c r="Y44" s="12" t="b">
        <v>0</v>
      </c>
      <c r="Z44" s="13" t="b">
        <v>1</v>
      </c>
    </row>
    <row r="45" spans="1:26">
      <c r="A45" t="s">
        <v>53</v>
      </c>
      <c r="B45" t="s">
        <v>54</v>
      </c>
      <c r="C45" t="s">
        <v>55</v>
      </c>
      <c r="D45" t="s">
        <v>19</v>
      </c>
      <c r="E45" t="s">
        <v>20</v>
      </c>
      <c r="F45" t="s">
        <v>53</v>
      </c>
      <c r="H45" t="s">
        <v>189</v>
      </c>
      <c r="J45">
        <v>5628</v>
      </c>
      <c r="L45" t="s">
        <v>180</v>
      </c>
      <c r="M45" t="s">
        <v>24</v>
      </c>
      <c r="N45" t="s">
        <v>25</v>
      </c>
      <c r="Q45" s="11" t="s">
        <v>488</v>
      </c>
      <c r="R45" s="12" t="s">
        <v>55</v>
      </c>
      <c r="S45" s="12" t="s">
        <v>55</v>
      </c>
      <c r="T45" s="12">
        <v>1.0072000000000001</v>
      </c>
      <c r="U45" s="12">
        <v>174.06059999999999</v>
      </c>
      <c r="V45" s="12" t="s">
        <v>785</v>
      </c>
      <c r="W45" s="12">
        <v>1</v>
      </c>
      <c r="X45" s="12" t="b">
        <v>1</v>
      </c>
      <c r="Y45" s="12" t="b">
        <v>1</v>
      </c>
      <c r="Z45" s="13" t="b">
        <v>1</v>
      </c>
    </row>
    <row r="46" spans="1:26">
      <c r="A46" t="s">
        <v>190</v>
      </c>
      <c r="B46" t="s">
        <v>191</v>
      </c>
      <c r="C46" t="s">
        <v>192</v>
      </c>
      <c r="D46" t="s">
        <v>19</v>
      </c>
      <c r="E46" t="s">
        <v>20</v>
      </c>
      <c r="F46" t="s">
        <v>193</v>
      </c>
      <c r="H46" t="s">
        <v>22</v>
      </c>
      <c r="J46">
        <v>3130</v>
      </c>
      <c r="L46" t="s">
        <v>180</v>
      </c>
      <c r="M46" t="s">
        <v>24</v>
      </c>
      <c r="N46" t="s">
        <v>25</v>
      </c>
      <c r="Q46" s="11" t="s">
        <v>489</v>
      </c>
      <c r="R46" s="12" t="s">
        <v>192</v>
      </c>
      <c r="S46" s="12" t="s">
        <v>192</v>
      </c>
      <c r="T46" s="12">
        <v>1.0694999999999999</v>
      </c>
      <c r="U46" s="12">
        <v>259.71879999999999</v>
      </c>
      <c r="V46" s="12" t="s">
        <v>812</v>
      </c>
      <c r="W46" s="12">
        <v>1</v>
      </c>
      <c r="X46" s="12" t="b">
        <v>1</v>
      </c>
      <c r="Y46" s="12" t="b">
        <v>1</v>
      </c>
      <c r="Z46" s="13" t="b">
        <v>1</v>
      </c>
    </row>
    <row r="47" spans="1:26">
      <c r="A47" t="s">
        <v>68</v>
      </c>
      <c r="B47" t="s">
        <v>69</v>
      </c>
      <c r="C47" t="s">
        <v>70</v>
      </c>
      <c r="D47" t="s">
        <v>19</v>
      </c>
      <c r="E47" t="s">
        <v>20</v>
      </c>
      <c r="F47" t="s">
        <v>194</v>
      </c>
      <c r="H47" t="s">
        <v>189</v>
      </c>
      <c r="J47">
        <v>3155</v>
      </c>
      <c r="L47" t="s">
        <v>180</v>
      </c>
      <c r="M47" t="s">
        <v>24</v>
      </c>
      <c r="N47" t="s">
        <v>25</v>
      </c>
      <c r="Q47" s="11" t="s">
        <v>491</v>
      </c>
      <c r="R47" s="12" t="s">
        <v>70</v>
      </c>
      <c r="S47" s="12" t="s">
        <v>70</v>
      </c>
      <c r="T47" s="12">
        <v>1.0267999999999999</v>
      </c>
      <c r="U47" s="12">
        <v>197.47219999999999</v>
      </c>
      <c r="V47" s="12" t="s">
        <v>813</v>
      </c>
      <c r="W47" s="12">
        <v>1</v>
      </c>
      <c r="X47" s="12" t="b">
        <v>1</v>
      </c>
      <c r="Y47" s="12" t="b">
        <v>1</v>
      </c>
      <c r="Z47" s="13" t="b">
        <v>1</v>
      </c>
    </row>
    <row r="48" spans="1:26">
      <c r="A48" t="s">
        <v>195</v>
      </c>
      <c r="B48" t="s">
        <v>196</v>
      </c>
      <c r="C48" t="s">
        <v>197</v>
      </c>
      <c r="D48" t="s">
        <v>19</v>
      </c>
      <c r="E48" t="s">
        <v>20</v>
      </c>
      <c r="F48" t="s">
        <v>198</v>
      </c>
      <c r="H48" t="s">
        <v>189</v>
      </c>
      <c r="J48">
        <v>3098</v>
      </c>
      <c r="L48" t="s">
        <v>180</v>
      </c>
      <c r="M48" t="s">
        <v>24</v>
      </c>
      <c r="N48" t="s">
        <v>25</v>
      </c>
      <c r="Q48" s="11" t="s">
        <v>493</v>
      </c>
      <c r="R48" s="12" t="s">
        <v>197</v>
      </c>
      <c r="S48" s="12" t="s">
        <v>197</v>
      </c>
      <c r="T48" s="12">
        <v>0.97319999999999995</v>
      </c>
      <c r="U48" s="12">
        <v>139.83090000000001</v>
      </c>
      <c r="V48" s="12" t="s">
        <v>814</v>
      </c>
      <c r="W48" s="12">
        <v>1</v>
      </c>
      <c r="X48" s="12" t="b">
        <v>1</v>
      </c>
      <c r="Y48" s="12" t="b">
        <v>1</v>
      </c>
      <c r="Z48" s="13" t="b">
        <v>1</v>
      </c>
    </row>
    <row r="49" spans="1:26">
      <c r="A49" t="s">
        <v>199</v>
      </c>
      <c r="B49" t="s">
        <v>200</v>
      </c>
      <c r="C49" t="s">
        <v>201</v>
      </c>
      <c r="D49" t="s">
        <v>19</v>
      </c>
      <c r="E49" t="s">
        <v>20</v>
      </c>
      <c r="F49" t="s">
        <v>202</v>
      </c>
      <c r="H49" t="s">
        <v>203</v>
      </c>
      <c r="J49">
        <v>3240</v>
      </c>
      <c r="L49" t="s">
        <v>180</v>
      </c>
      <c r="M49" t="s">
        <v>24</v>
      </c>
      <c r="N49" t="s">
        <v>25</v>
      </c>
      <c r="Q49" s="11" t="s">
        <v>495</v>
      </c>
      <c r="R49" s="12" t="s">
        <v>201</v>
      </c>
      <c r="S49" s="12" t="s">
        <v>201</v>
      </c>
      <c r="T49" s="12">
        <v>0.86819999999999997</v>
      </c>
      <c r="U49" s="12">
        <v>70.906000000000006</v>
      </c>
      <c r="V49" s="12" t="s">
        <v>815</v>
      </c>
      <c r="W49" s="12">
        <v>1</v>
      </c>
      <c r="X49" s="12" t="b">
        <v>1</v>
      </c>
      <c r="Y49" s="12" t="b">
        <v>1</v>
      </c>
      <c r="Z49" s="13" t="b">
        <v>1</v>
      </c>
    </row>
    <row r="50" spans="1:26">
      <c r="A50" t="s">
        <v>204</v>
      </c>
      <c r="B50" t="s">
        <v>205</v>
      </c>
      <c r="C50" t="s">
        <v>206</v>
      </c>
      <c r="D50" t="s">
        <v>19</v>
      </c>
      <c r="E50" t="s">
        <v>20</v>
      </c>
      <c r="F50" t="s">
        <v>207</v>
      </c>
      <c r="H50" t="s">
        <v>208</v>
      </c>
      <c r="J50">
        <v>10566</v>
      </c>
      <c r="L50" t="s">
        <v>180</v>
      </c>
      <c r="M50" t="s">
        <v>24</v>
      </c>
      <c r="N50" t="s">
        <v>25</v>
      </c>
      <c r="Q50" s="11" t="s">
        <v>497</v>
      </c>
      <c r="R50" s="12" t="s">
        <v>206</v>
      </c>
      <c r="S50" s="12" t="s">
        <v>206</v>
      </c>
      <c r="T50" s="12">
        <v>1.0789</v>
      </c>
      <c r="U50" s="12">
        <v>275.84249999999997</v>
      </c>
      <c r="V50" s="12" t="s">
        <v>816</v>
      </c>
      <c r="W50" s="12">
        <v>1</v>
      </c>
      <c r="X50" s="12" t="b">
        <v>1</v>
      </c>
      <c r="Y50" s="12" t="b">
        <v>1</v>
      </c>
      <c r="Z50" s="13" t="b">
        <v>1</v>
      </c>
    </row>
    <row r="51" spans="1:26">
      <c r="A51" t="s">
        <v>209</v>
      </c>
      <c r="B51" t="s">
        <v>210</v>
      </c>
      <c r="C51" t="s">
        <v>211</v>
      </c>
      <c r="D51" t="s">
        <v>19</v>
      </c>
      <c r="E51" t="s">
        <v>20</v>
      </c>
      <c r="F51" t="s">
        <v>212</v>
      </c>
      <c r="H51" t="s">
        <v>189</v>
      </c>
      <c r="J51">
        <v>9059</v>
      </c>
      <c r="L51" t="s">
        <v>180</v>
      </c>
      <c r="M51" t="s">
        <v>24</v>
      </c>
      <c r="N51" t="s">
        <v>25</v>
      </c>
      <c r="Q51" s="11" t="s">
        <v>499</v>
      </c>
      <c r="R51" s="12" t="s">
        <v>211</v>
      </c>
      <c r="S51" s="12" t="s">
        <v>500</v>
      </c>
      <c r="T51" s="12">
        <v>0.96399999999999997</v>
      </c>
      <c r="U51" s="12">
        <v>131.72810000000001</v>
      </c>
      <c r="V51" s="12" t="s">
        <v>817</v>
      </c>
      <c r="W51" s="12">
        <v>3</v>
      </c>
      <c r="X51" s="12" t="b">
        <v>1</v>
      </c>
      <c r="Y51" s="12" t="b">
        <v>0</v>
      </c>
      <c r="Z51" s="13" t="b">
        <v>1</v>
      </c>
    </row>
    <row r="52" spans="1:26">
      <c r="A52" t="s">
        <v>213</v>
      </c>
      <c r="B52" t="s">
        <v>214</v>
      </c>
      <c r="C52" t="s">
        <v>215</v>
      </c>
      <c r="D52" t="s">
        <v>44</v>
      </c>
      <c r="E52" t="s">
        <v>20</v>
      </c>
      <c r="F52" t="s">
        <v>216</v>
      </c>
      <c r="H52" t="s">
        <v>217</v>
      </c>
      <c r="J52">
        <v>10523</v>
      </c>
      <c r="L52" t="s">
        <v>180</v>
      </c>
      <c r="M52" t="s">
        <v>24</v>
      </c>
      <c r="N52" t="s">
        <v>25</v>
      </c>
      <c r="Q52" s="11" t="s">
        <v>502</v>
      </c>
      <c r="R52" s="12" t="s">
        <v>215</v>
      </c>
      <c r="S52" s="12" t="s">
        <v>452</v>
      </c>
      <c r="T52" s="12">
        <v>0.98719999999999997</v>
      </c>
      <c r="U52" s="12">
        <v>80.196700000000007</v>
      </c>
      <c r="V52" s="12" t="s">
        <v>818</v>
      </c>
      <c r="W52" s="12"/>
      <c r="X52" s="12" t="b">
        <v>1</v>
      </c>
      <c r="Y52" s="12" t="b">
        <v>0</v>
      </c>
      <c r="Z52" s="13" t="b">
        <v>0</v>
      </c>
    </row>
    <row r="53" spans="1:26">
      <c r="A53" t="s">
        <v>213</v>
      </c>
      <c r="B53" t="s">
        <v>214</v>
      </c>
      <c r="C53" t="s">
        <v>218</v>
      </c>
      <c r="D53" t="s">
        <v>19</v>
      </c>
      <c r="E53" t="s">
        <v>20</v>
      </c>
      <c r="F53" t="s">
        <v>216</v>
      </c>
      <c r="H53" t="s">
        <v>219</v>
      </c>
      <c r="J53">
        <v>10521</v>
      </c>
      <c r="L53" t="s">
        <v>180</v>
      </c>
      <c r="M53" t="s">
        <v>24</v>
      </c>
      <c r="N53" t="s">
        <v>25</v>
      </c>
      <c r="Q53" s="11" t="s">
        <v>504</v>
      </c>
      <c r="R53" s="12" t="s">
        <v>218</v>
      </c>
      <c r="S53" s="12" t="s">
        <v>505</v>
      </c>
      <c r="T53" s="12">
        <v>0.84260000000000002</v>
      </c>
      <c r="U53" s="12">
        <v>60.072000000000003</v>
      </c>
      <c r="V53" s="12" t="s">
        <v>819</v>
      </c>
      <c r="W53" s="12"/>
      <c r="X53" s="12" t="b">
        <v>1</v>
      </c>
      <c r="Y53" s="12" t="b">
        <v>0</v>
      </c>
      <c r="Z53" s="13" t="b">
        <v>0</v>
      </c>
    </row>
    <row r="54" spans="1:26">
      <c r="A54" t="s">
        <v>220</v>
      </c>
      <c r="B54" t="s">
        <v>221</v>
      </c>
      <c r="C54" t="s">
        <v>222</v>
      </c>
      <c r="D54" t="s">
        <v>19</v>
      </c>
      <c r="E54" t="s">
        <v>20</v>
      </c>
      <c r="F54" t="s">
        <v>223</v>
      </c>
      <c r="H54" t="s">
        <v>22</v>
      </c>
      <c r="J54">
        <v>9770</v>
      </c>
      <c r="L54" t="s">
        <v>180</v>
      </c>
      <c r="M54" t="s">
        <v>24</v>
      </c>
      <c r="N54" t="s">
        <v>25</v>
      </c>
      <c r="Q54" s="11" t="s">
        <v>507</v>
      </c>
      <c r="R54" s="12" t="s">
        <v>222</v>
      </c>
      <c r="S54" s="12" t="s">
        <v>508</v>
      </c>
      <c r="T54" s="12">
        <v>0.9768</v>
      </c>
      <c r="U54" s="12">
        <v>143.0909</v>
      </c>
      <c r="V54" s="12" t="s">
        <v>820</v>
      </c>
      <c r="W54" s="12"/>
      <c r="X54" s="12" t="b">
        <v>1</v>
      </c>
      <c r="Y54" s="12" t="b">
        <v>0</v>
      </c>
      <c r="Z54" s="13" t="b">
        <v>0</v>
      </c>
    </row>
    <row r="55" spans="1:26">
      <c r="A55" t="s">
        <v>224</v>
      </c>
      <c r="B55" t="s">
        <v>148</v>
      </c>
      <c r="C55" t="s">
        <v>149</v>
      </c>
      <c r="D55" t="s">
        <v>19</v>
      </c>
      <c r="E55" t="s">
        <v>20</v>
      </c>
      <c r="F55" t="s">
        <v>225</v>
      </c>
      <c r="H55" t="s">
        <v>226</v>
      </c>
      <c r="J55">
        <v>15418</v>
      </c>
      <c r="L55" t="s">
        <v>180</v>
      </c>
      <c r="M55" t="s">
        <v>24</v>
      </c>
      <c r="N55" t="s">
        <v>49</v>
      </c>
      <c r="Q55" s="11" t="s">
        <v>510</v>
      </c>
      <c r="R55" s="12" t="s">
        <v>149</v>
      </c>
      <c r="S55" s="12" t="s">
        <v>149</v>
      </c>
      <c r="T55" s="12">
        <v>0.95840000000000003</v>
      </c>
      <c r="U55" s="12">
        <v>127.0797</v>
      </c>
      <c r="V55" s="12" t="s">
        <v>821</v>
      </c>
      <c r="W55" s="12">
        <v>1</v>
      </c>
      <c r="X55" s="12" t="b">
        <v>1</v>
      </c>
      <c r="Y55" s="12" t="b">
        <v>1</v>
      </c>
      <c r="Z55" s="13" t="b">
        <v>1</v>
      </c>
    </row>
    <row r="56" spans="1:26">
      <c r="A56" t="s">
        <v>224</v>
      </c>
      <c r="B56" t="s">
        <v>148</v>
      </c>
      <c r="C56" t="s">
        <v>149</v>
      </c>
      <c r="D56" t="s">
        <v>19</v>
      </c>
      <c r="E56" t="s">
        <v>20</v>
      </c>
      <c r="F56" t="s">
        <v>225</v>
      </c>
      <c r="H56" t="s">
        <v>226</v>
      </c>
      <c r="J56">
        <v>15418</v>
      </c>
      <c r="L56" t="s">
        <v>180</v>
      </c>
      <c r="M56" t="s">
        <v>24</v>
      </c>
      <c r="N56" t="s">
        <v>421</v>
      </c>
      <c r="Q56" s="11" t="s">
        <v>510</v>
      </c>
      <c r="R56" s="12" t="s">
        <v>149</v>
      </c>
      <c r="S56" s="12" t="s">
        <v>149</v>
      </c>
      <c r="T56" s="12">
        <v>0.95840000000000003</v>
      </c>
      <c r="U56" s="12">
        <v>127.0797</v>
      </c>
      <c r="V56" s="12" t="s">
        <v>821</v>
      </c>
      <c r="W56" s="12">
        <v>1</v>
      </c>
      <c r="X56" s="12" t="b">
        <v>1</v>
      </c>
      <c r="Y56" s="12" t="b">
        <v>1</v>
      </c>
      <c r="Z56" s="13" t="b">
        <v>1</v>
      </c>
    </row>
    <row r="57" spans="1:26">
      <c r="A57" t="s">
        <v>227</v>
      </c>
      <c r="B57" t="s">
        <v>158</v>
      </c>
      <c r="C57" t="s">
        <v>159</v>
      </c>
      <c r="D57" t="s">
        <v>19</v>
      </c>
      <c r="E57" t="s">
        <v>20</v>
      </c>
      <c r="F57" t="s">
        <v>228</v>
      </c>
      <c r="H57" t="s">
        <v>229</v>
      </c>
      <c r="J57">
        <v>12829</v>
      </c>
      <c r="L57" t="s">
        <v>180</v>
      </c>
      <c r="M57" t="s">
        <v>24</v>
      </c>
      <c r="Q57" s="11" t="s">
        <v>512</v>
      </c>
      <c r="R57" s="12" t="s">
        <v>159</v>
      </c>
      <c r="S57" s="12" t="s">
        <v>822</v>
      </c>
      <c r="T57" s="12">
        <v>1.0158</v>
      </c>
      <c r="U57" s="12">
        <v>96.525199999999998</v>
      </c>
      <c r="V57" s="12" t="s">
        <v>823</v>
      </c>
      <c r="W57" s="12">
        <v>18</v>
      </c>
      <c r="X57" s="12" t="b">
        <v>1</v>
      </c>
      <c r="Y57" s="12" t="b">
        <v>0</v>
      </c>
      <c r="Z57" s="13" t="b">
        <v>1</v>
      </c>
    </row>
    <row r="58" spans="1:26">
      <c r="A58" t="s">
        <v>230</v>
      </c>
      <c r="B58" t="s">
        <v>231</v>
      </c>
      <c r="C58" t="s">
        <v>232</v>
      </c>
      <c r="D58" t="s">
        <v>127</v>
      </c>
      <c r="E58" t="s">
        <v>127</v>
      </c>
      <c r="F58" t="s">
        <v>233</v>
      </c>
      <c r="H58" t="s">
        <v>234</v>
      </c>
      <c r="J58">
        <v>23253</v>
      </c>
      <c r="L58" t="s">
        <v>180</v>
      </c>
      <c r="M58" t="s">
        <v>24</v>
      </c>
      <c r="Q58" s="11" t="s">
        <v>515</v>
      </c>
      <c r="R58" s="12" t="s">
        <v>232</v>
      </c>
      <c r="S58" s="12" t="s">
        <v>516</v>
      </c>
      <c r="T58" s="12">
        <v>1.0858000000000001</v>
      </c>
      <c r="U58" s="12">
        <v>288.4169</v>
      </c>
      <c r="V58" s="12" t="s">
        <v>824</v>
      </c>
      <c r="W58" s="12"/>
      <c r="X58" s="12" t="b">
        <v>1</v>
      </c>
      <c r="Y58" s="12" t="b">
        <v>0</v>
      </c>
      <c r="Z58" s="13" t="b">
        <v>0</v>
      </c>
    </row>
    <row r="59" spans="1:26">
      <c r="A59" t="s">
        <v>235</v>
      </c>
      <c r="B59" t="s">
        <v>236</v>
      </c>
      <c r="C59" t="s">
        <v>237</v>
      </c>
      <c r="D59" t="s">
        <v>19</v>
      </c>
      <c r="E59" t="s">
        <v>20</v>
      </c>
      <c r="F59" t="s">
        <v>238</v>
      </c>
      <c r="H59" t="s">
        <v>239</v>
      </c>
      <c r="J59">
        <v>13567</v>
      </c>
      <c r="L59" t="s">
        <v>180</v>
      </c>
      <c r="M59" t="s">
        <v>24</v>
      </c>
      <c r="N59" t="s">
        <v>49</v>
      </c>
      <c r="Q59" s="11" t="s">
        <v>518</v>
      </c>
      <c r="R59" s="12" t="s">
        <v>237</v>
      </c>
      <c r="S59" s="12" t="s">
        <v>519</v>
      </c>
      <c r="T59" s="12">
        <v>0.80210000000000004</v>
      </c>
      <c r="U59" s="12">
        <v>46.105699999999999</v>
      </c>
      <c r="V59" s="12" t="s">
        <v>825</v>
      </c>
      <c r="W59" s="12">
        <v>14</v>
      </c>
      <c r="X59" s="12" t="b">
        <v>1</v>
      </c>
      <c r="Y59" s="12" t="b">
        <v>0</v>
      </c>
      <c r="Z59" s="13" t="b">
        <v>1</v>
      </c>
    </row>
    <row r="60" spans="1:26">
      <c r="A60" t="s">
        <v>240</v>
      </c>
      <c r="B60" t="s">
        <v>241</v>
      </c>
      <c r="C60" t="s">
        <v>242</v>
      </c>
      <c r="D60" t="s">
        <v>19</v>
      </c>
      <c r="E60" t="s">
        <v>20</v>
      </c>
      <c r="F60" t="s">
        <v>243</v>
      </c>
      <c r="H60" t="s">
        <v>244</v>
      </c>
      <c r="J60">
        <v>11807</v>
      </c>
      <c r="L60" t="s">
        <v>180</v>
      </c>
      <c r="M60" t="s">
        <v>24</v>
      </c>
      <c r="Q60" s="11" t="s">
        <v>521</v>
      </c>
      <c r="R60" s="12" t="s">
        <v>242</v>
      </c>
      <c r="S60" s="12" t="s">
        <v>242</v>
      </c>
      <c r="T60" s="12">
        <v>0.98609999999999998</v>
      </c>
      <c r="U60" s="12">
        <v>151.96940000000001</v>
      </c>
      <c r="V60" s="12" t="s">
        <v>826</v>
      </c>
      <c r="W60" s="12">
        <v>1</v>
      </c>
      <c r="X60" s="12" t="b">
        <v>1</v>
      </c>
      <c r="Y60" s="12" t="b">
        <v>1</v>
      </c>
      <c r="Z60" s="13" t="b">
        <v>1</v>
      </c>
    </row>
    <row r="61" spans="1:26">
      <c r="A61" t="s">
        <v>245</v>
      </c>
      <c r="B61" t="s">
        <v>246</v>
      </c>
      <c r="C61" t="s">
        <v>247</v>
      </c>
      <c r="D61" t="s">
        <v>19</v>
      </c>
      <c r="E61" t="s">
        <v>20</v>
      </c>
      <c r="F61" t="s">
        <v>248</v>
      </c>
      <c r="H61" t="s">
        <v>249</v>
      </c>
      <c r="J61">
        <v>14568</v>
      </c>
      <c r="L61" t="s">
        <v>180</v>
      </c>
      <c r="M61" t="s">
        <v>24</v>
      </c>
      <c r="Q61" s="11" t="s">
        <v>523</v>
      </c>
      <c r="R61" s="12" t="s">
        <v>247</v>
      </c>
      <c r="S61" s="12" t="s">
        <v>524</v>
      </c>
      <c r="T61" s="12">
        <v>1.0851</v>
      </c>
      <c r="U61" s="12">
        <v>287.07319999999999</v>
      </c>
      <c r="V61" s="12" t="s">
        <v>827</v>
      </c>
      <c r="W61" s="12">
        <v>4</v>
      </c>
      <c r="X61" s="12" t="b">
        <v>1</v>
      </c>
      <c r="Y61" s="12" t="b">
        <v>0</v>
      </c>
      <c r="Z61" s="13" t="b">
        <v>1</v>
      </c>
    </row>
    <row r="62" spans="1:26">
      <c r="A62" t="s">
        <v>184</v>
      </c>
      <c r="B62" t="s">
        <v>185</v>
      </c>
      <c r="C62" t="s">
        <v>186</v>
      </c>
      <c r="D62" t="s">
        <v>19</v>
      </c>
      <c r="E62" t="s">
        <v>20</v>
      </c>
      <c r="F62" t="s">
        <v>184</v>
      </c>
      <c r="H62" t="s">
        <v>250</v>
      </c>
      <c r="K62" t="s">
        <v>251</v>
      </c>
      <c r="L62" t="s">
        <v>252</v>
      </c>
      <c r="M62" t="s">
        <v>24</v>
      </c>
      <c r="N62" t="s">
        <v>49</v>
      </c>
      <c r="Q62" s="11" t="s">
        <v>526</v>
      </c>
      <c r="R62" s="12" t="s">
        <v>186</v>
      </c>
      <c r="S62" s="12" t="s">
        <v>486</v>
      </c>
      <c r="T62" s="12">
        <v>0.95699999999999996</v>
      </c>
      <c r="U62" s="12">
        <v>125.9674</v>
      </c>
      <c r="V62" s="12" t="s">
        <v>828</v>
      </c>
      <c r="W62" s="12">
        <v>4</v>
      </c>
      <c r="X62" s="12" t="b">
        <v>1</v>
      </c>
      <c r="Y62" s="12" t="b">
        <v>0</v>
      </c>
      <c r="Z62" s="13" t="b">
        <v>1</v>
      </c>
    </row>
    <row r="63" spans="1:26">
      <c r="A63" t="s">
        <v>184</v>
      </c>
      <c r="B63" t="s">
        <v>185</v>
      </c>
      <c r="C63" t="s">
        <v>186</v>
      </c>
      <c r="D63" t="s">
        <v>19</v>
      </c>
      <c r="E63" t="s">
        <v>20</v>
      </c>
      <c r="F63" t="s">
        <v>184</v>
      </c>
      <c r="H63" t="s">
        <v>250</v>
      </c>
      <c r="K63" t="s">
        <v>251</v>
      </c>
      <c r="L63" t="s">
        <v>252</v>
      </c>
      <c r="M63" t="s">
        <v>24</v>
      </c>
      <c r="N63" t="s">
        <v>421</v>
      </c>
      <c r="Q63" s="11" t="s">
        <v>526</v>
      </c>
      <c r="R63" s="12" t="s">
        <v>186</v>
      </c>
      <c r="S63" s="12" t="s">
        <v>486</v>
      </c>
      <c r="T63" s="12">
        <v>0.95699999999999996</v>
      </c>
      <c r="U63" s="12">
        <v>125.9674</v>
      </c>
      <c r="V63" s="12" t="s">
        <v>828</v>
      </c>
      <c r="W63" s="12">
        <v>4</v>
      </c>
      <c r="X63" s="12" t="b">
        <v>1</v>
      </c>
      <c r="Y63" s="12" t="b">
        <v>0</v>
      </c>
      <c r="Z63" s="13" t="b">
        <v>1</v>
      </c>
    </row>
    <row r="64" spans="1:26">
      <c r="A64" t="s">
        <v>253</v>
      </c>
      <c r="B64" t="s">
        <v>214</v>
      </c>
      <c r="C64" t="s">
        <v>254</v>
      </c>
      <c r="D64" t="s">
        <v>127</v>
      </c>
      <c r="E64" t="s">
        <v>127</v>
      </c>
      <c r="F64" t="s">
        <v>253</v>
      </c>
      <c r="H64" t="s">
        <v>127</v>
      </c>
      <c r="K64">
        <v>1680</v>
      </c>
      <c r="L64" t="s">
        <v>252</v>
      </c>
      <c r="M64" t="s">
        <v>24</v>
      </c>
      <c r="Q64" s="11" t="s">
        <v>528</v>
      </c>
      <c r="R64" s="12" t="s">
        <v>254</v>
      </c>
      <c r="S64" s="12" t="s">
        <v>254</v>
      </c>
      <c r="T64" s="12">
        <v>1.1549</v>
      </c>
      <c r="U64" s="12">
        <v>449.20499999999998</v>
      </c>
      <c r="V64" s="12" t="s">
        <v>829</v>
      </c>
      <c r="W64" s="12">
        <v>1</v>
      </c>
      <c r="X64" s="12" t="b">
        <v>1</v>
      </c>
      <c r="Y64" s="12" t="b">
        <v>1</v>
      </c>
      <c r="Z64" s="13" t="b">
        <v>1</v>
      </c>
    </row>
    <row r="65" spans="1:26">
      <c r="A65" t="s">
        <v>255</v>
      </c>
      <c r="B65" t="s">
        <v>256</v>
      </c>
      <c r="C65" t="s">
        <v>257</v>
      </c>
      <c r="D65" t="s">
        <v>79</v>
      </c>
      <c r="E65" t="s">
        <v>20</v>
      </c>
      <c r="F65" t="s">
        <v>258</v>
      </c>
      <c r="H65" t="s">
        <v>259</v>
      </c>
      <c r="K65" t="s">
        <v>260</v>
      </c>
      <c r="L65" t="s">
        <v>252</v>
      </c>
      <c r="M65" t="s">
        <v>24</v>
      </c>
      <c r="Q65" s="11" t="s">
        <v>530</v>
      </c>
      <c r="R65" s="12" t="s">
        <v>257</v>
      </c>
      <c r="S65" s="12" t="s">
        <v>257</v>
      </c>
      <c r="T65" s="12">
        <v>1.0379</v>
      </c>
      <c r="U65" s="12">
        <v>211.99709999999999</v>
      </c>
      <c r="V65" s="12" t="s">
        <v>830</v>
      </c>
      <c r="W65" s="12">
        <v>1</v>
      </c>
      <c r="X65" s="12" t="b">
        <v>1</v>
      </c>
      <c r="Y65" s="12" t="b">
        <v>1</v>
      </c>
      <c r="Z65" s="13" t="b">
        <v>1</v>
      </c>
    </row>
    <row r="66" spans="1:26">
      <c r="A66" t="s">
        <v>261</v>
      </c>
      <c r="B66" t="s">
        <v>262</v>
      </c>
      <c r="C66" t="s">
        <v>263</v>
      </c>
      <c r="D66" t="s">
        <v>19</v>
      </c>
      <c r="E66" t="s">
        <v>20</v>
      </c>
      <c r="F66" t="s">
        <v>261</v>
      </c>
      <c r="H66" t="s">
        <v>189</v>
      </c>
      <c r="K66" t="s">
        <v>264</v>
      </c>
      <c r="L66" t="s">
        <v>252</v>
      </c>
      <c r="M66" t="s">
        <v>24</v>
      </c>
      <c r="Q66" s="11" t="s">
        <v>532</v>
      </c>
      <c r="R66" s="12" t="s">
        <v>263</v>
      </c>
      <c r="S66" s="12" t="s">
        <v>263</v>
      </c>
      <c r="T66" s="12">
        <v>1.1113</v>
      </c>
      <c r="U66" s="12">
        <v>339.65589999999997</v>
      </c>
      <c r="V66" s="12" t="s">
        <v>831</v>
      </c>
      <c r="W66" s="12">
        <v>1</v>
      </c>
      <c r="X66" s="12" t="b">
        <v>1</v>
      </c>
      <c r="Y66" s="12" t="b">
        <v>1</v>
      </c>
      <c r="Z66" s="13" t="b">
        <v>1</v>
      </c>
    </row>
    <row r="67" spans="1:26">
      <c r="A67" t="s">
        <v>265</v>
      </c>
      <c r="B67" t="s">
        <v>266</v>
      </c>
      <c r="C67" t="s">
        <v>267</v>
      </c>
      <c r="D67" t="s">
        <v>19</v>
      </c>
      <c r="E67" t="s">
        <v>20</v>
      </c>
      <c r="F67" t="s">
        <v>268</v>
      </c>
      <c r="H67" t="s">
        <v>269</v>
      </c>
      <c r="K67">
        <v>2207</v>
      </c>
      <c r="L67" t="s">
        <v>252</v>
      </c>
      <c r="M67" t="s">
        <v>24</v>
      </c>
      <c r="N67" t="s">
        <v>49</v>
      </c>
      <c r="Q67" s="11" t="s">
        <v>534</v>
      </c>
      <c r="R67" s="12" t="s">
        <v>267</v>
      </c>
      <c r="S67" s="12" t="s">
        <v>267</v>
      </c>
      <c r="T67" s="12">
        <v>0.84319999999999995</v>
      </c>
      <c r="U67" s="12">
        <v>60.283700000000003</v>
      </c>
      <c r="V67" s="12" t="s">
        <v>832</v>
      </c>
      <c r="W67" s="12">
        <v>1</v>
      </c>
      <c r="X67" s="12" t="b">
        <v>1</v>
      </c>
      <c r="Y67" s="12" t="b">
        <v>1</v>
      </c>
      <c r="Z67" s="13" t="b">
        <v>1</v>
      </c>
    </row>
    <row r="68" spans="1:26">
      <c r="A68" t="s">
        <v>270</v>
      </c>
      <c r="B68" t="s">
        <v>271</v>
      </c>
      <c r="C68" s="3" t="s">
        <v>272</v>
      </c>
      <c r="D68" t="s">
        <v>79</v>
      </c>
      <c r="E68" t="s">
        <v>20</v>
      </c>
      <c r="F68" t="s">
        <v>273</v>
      </c>
      <c r="H68" t="s">
        <v>259</v>
      </c>
      <c r="K68">
        <v>1915</v>
      </c>
      <c r="L68" t="s">
        <v>252</v>
      </c>
      <c r="M68" t="s">
        <v>24</v>
      </c>
      <c r="N68" t="s">
        <v>25</v>
      </c>
      <c r="Q68" s="11" t="s">
        <v>536</v>
      </c>
      <c r="R68" s="12" t="s">
        <v>272</v>
      </c>
      <c r="S68" s="12" t="s">
        <v>272</v>
      </c>
      <c r="T68" s="12">
        <v>1.0033000000000001</v>
      </c>
      <c r="U68" s="12">
        <v>169.6798</v>
      </c>
      <c r="V68" s="12" t="s">
        <v>833</v>
      </c>
      <c r="W68" s="12">
        <v>1</v>
      </c>
      <c r="X68" s="12" t="b">
        <v>1</v>
      </c>
      <c r="Y68" s="12" t="b">
        <v>1</v>
      </c>
      <c r="Z68" s="13" t="b">
        <v>1</v>
      </c>
    </row>
    <row r="69" spans="1:26">
      <c r="A69" t="s">
        <v>274</v>
      </c>
      <c r="B69" t="s">
        <v>275</v>
      </c>
      <c r="C69" t="s">
        <v>276</v>
      </c>
      <c r="D69" t="s">
        <v>44</v>
      </c>
      <c r="E69" t="s">
        <v>20</v>
      </c>
      <c r="F69" t="s">
        <v>277</v>
      </c>
      <c r="H69" t="s">
        <v>278</v>
      </c>
      <c r="K69">
        <v>1926</v>
      </c>
      <c r="L69" t="s">
        <v>252</v>
      </c>
      <c r="M69" t="s">
        <v>24</v>
      </c>
      <c r="N69" t="s">
        <v>25</v>
      </c>
      <c r="Q69" s="11" t="s">
        <v>538</v>
      </c>
      <c r="R69" s="12" t="s">
        <v>276</v>
      </c>
      <c r="S69" s="12" t="s">
        <v>276</v>
      </c>
      <c r="T69" s="12">
        <v>1.1245000000000001</v>
      </c>
      <c r="U69" s="12">
        <v>194.5386</v>
      </c>
      <c r="V69" s="12" t="s">
        <v>834</v>
      </c>
      <c r="W69" s="12">
        <v>1</v>
      </c>
      <c r="X69" s="12" t="b">
        <v>1</v>
      </c>
      <c r="Y69" s="12" t="b">
        <v>1</v>
      </c>
      <c r="Z69" s="13" t="b">
        <v>1</v>
      </c>
    </row>
    <row r="70" spans="1:26">
      <c r="A70" t="s">
        <v>279</v>
      </c>
      <c r="B70" t="s">
        <v>280</v>
      </c>
      <c r="C70" t="s">
        <v>281</v>
      </c>
      <c r="D70" t="s">
        <v>79</v>
      </c>
      <c r="E70" t="s">
        <v>20</v>
      </c>
      <c r="F70" t="s">
        <v>282</v>
      </c>
      <c r="H70" t="s">
        <v>82</v>
      </c>
      <c r="K70" t="s">
        <v>283</v>
      </c>
      <c r="L70" t="s">
        <v>252</v>
      </c>
      <c r="M70" t="s">
        <v>24</v>
      </c>
      <c r="N70" t="s">
        <v>25</v>
      </c>
      <c r="Q70" s="11" t="s">
        <v>540</v>
      </c>
      <c r="R70" s="12" t="s">
        <v>281</v>
      </c>
      <c r="S70" s="12" t="s">
        <v>541</v>
      </c>
      <c r="T70" s="12">
        <v>0.75090000000000001</v>
      </c>
      <c r="U70" s="12">
        <v>121.05070000000001</v>
      </c>
      <c r="V70" s="12" t="s">
        <v>835</v>
      </c>
      <c r="W70" s="12">
        <v>2</v>
      </c>
      <c r="X70" s="12" t="b">
        <v>1</v>
      </c>
      <c r="Y70" s="12" t="b">
        <v>0</v>
      </c>
      <c r="Z70" s="13" t="b">
        <v>1</v>
      </c>
    </row>
    <row r="71" spans="1:26">
      <c r="A71" t="s">
        <v>284</v>
      </c>
      <c r="B71" t="s">
        <v>285</v>
      </c>
      <c r="C71" t="s">
        <v>286</v>
      </c>
      <c r="D71" t="s">
        <v>127</v>
      </c>
      <c r="E71" t="s">
        <v>127</v>
      </c>
      <c r="F71" t="s">
        <v>284</v>
      </c>
      <c r="H71" t="s">
        <v>127</v>
      </c>
      <c r="K71">
        <v>1766</v>
      </c>
      <c r="L71" t="s">
        <v>252</v>
      </c>
      <c r="M71" t="s">
        <v>24</v>
      </c>
      <c r="N71" t="s">
        <v>25</v>
      </c>
      <c r="Q71" s="11" t="s">
        <v>543</v>
      </c>
      <c r="R71" s="12" t="s">
        <v>286</v>
      </c>
      <c r="S71" s="12" t="s">
        <v>286</v>
      </c>
      <c r="T71" s="12">
        <v>0.98750000000000004</v>
      </c>
      <c r="U71" s="12">
        <v>153.30369999999999</v>
      </c>
      <c r="V71" s="12" t="s">
        <v>836</v>
      </c>
      <c r="W71" s="12">
        <v>1</v>
      </c>
      <c r="X71" s="12" t="b">
        <v>1</v>
      </c>
      <c r="Y71" s="12" t="b">
        <v>1</v>
      </c>
      <c r="Z71" s="13" t="b">
        <v>1</v>
      </c>
    </row>
    <row r="72" spans="1:26">
      <c r="A72" t="s">
        <v>287</v>
      </c>
      <c r="B72" t="s">
        <v>288</v>
      </c>
      <c r="C72" t="s">
        <v>289</v>
      </c>
      <c r="D72" t="s">
        <v>127</v>
      </c>
      <c r="E72" t="s">
        <v>127</v>
      </c>
      <c r="F72" t="s">
        <v>290</v>
      </c>
      <c r="H72" t="s">
        <v>127</v>
      </c>
      <c r="K72">
        <v>1687</v>
      </c>
      <c r="L72" t="s">
        <v>252</v>
      </c>
      <c r="M72" t="s">
        <v>24</v>
      </c>
      <c r="N72" t="s">
        <v>25</v>
      </c>
      <c r="Q72" s="11" t="s">
        <v>545</v>
      </c>
      <c r="R72" s="12" t="s">
        <v>289</v>
      </c>
      <c r="S72" s="12" t="s">
        <v>546</v>
      </c>
      <c r="T72" s="12">
        <v>0.87780000000000002</v>
      </c>
      <c r="U72" s="12">
        <v>75.490799999999993</v>
      </c>
      <c r="V72" s="12" t="s">
        <v>837</v>
      </c>
      <c r="W72" s="12">
        <v>15</v>
      </c>
      <c r="X72" s="12" t="b">
        <v>1</v>
      </c>
      <c r="Y72" s="12" t="b">
        <v>0</v>
      </c>
      <c r="Z72" s="13" t="b">
        <v>1</v>
      </c>
    </row>
    <row r="73" spans="1:26">
      <c r="A73" t="s">
        <v>291</v>
      </c>
      <c r="B73" t="s">
        <v>292</v>
      </c>
      <c r="C73" t="s">
        <v>293</v>
      </c>
      <c r="D73" t="s">
        <v>19</v>
      </c>
      <c r="E73" t="s">
        <v>20</v>
      </c>
      <c r="F73" t="s">
        <v>291</v>
      </c>
      <c r="H73" t="s">
        <v>294</v>
      </c>
      <c r="K73" t="s">
        <v>295</v>
      </c>
      <c r="L73" t="s">
        <v>252</v>
      </c>
      <c r="M73" t="s">
        <v>24</v>
      </c>
      <c r="N73" t="s">
        <v>25</v>
      </c>
      <c r="Q73" s="11" t="s">
        <v>548</v>
      </c>
      <c r="R73" s="12" t="s">
        <v>293</v>
      </c>
      <c r="S73" s="12" t="s">
        <v>549</v>
      </c>
      <c r="T73" s="12">
        <v>0.86299999999999999</v>
      </c>
      <c r="U73" s="12">
        <v>68.566199999999995</v>
      </c>
      <c r="V73" s="12" t="s">
        <v>838</v>
      </c>
      <c r="W73" s="12">
        <v>4</v>
      </c>
      <c r="X73" s="12" t="b">
        <v>1</v>
      </c>
      <c r="Y73" s="12" t="b">
        <v>0</v>
      </c>
      <c r="Z73" s="13" t="b">
        <v>1</v>
      </c>
    </row>
    <row r="74" spans="1:26">
      <c r="A74" t="s">
        <v>296</v>
      </c>
      <c r="B74" t="s">
        <v>297</v>
      </c>
      <c r="C74" t="s">
        <v>298</v>
      </c>
      <c r="D74" t="s">
        <v>19</v>
      </c>
      <c r="E74" t="s">
        <v>20</v>
      </c>
      <c r="F74" t="s">
        <v>299</v>
      </c>
      <c r="H74" t="s">
        <v>300</v>
      </c>
      <c r="K74" t="s">
        <v>301</v>
      </c>
      <c r="L74" t="s">
        <v>252</v>
      </c>
      <c r="M74" t="s">
        <v>24</v>
      </c>
      <c r="N74" t="s">
        <v>25</v>
      </c>
      <c r="Q74" s="11" t="s">
        <v>551</v>
      </c>
      <c r="R74" s="12" t="s">
        <v>298</v>
      </c>
      <c r="S74" s="12" t="s">
        <v>298</v>
      </c>
      <c r="T74" s="12">
        <v>0.9919</v>
      </c>
      <c r="U74" s="12">
        <v>157.6876</v>
      </c>
      <c r="V74" s="12" t="s">
        <v>839</v>
      </c>
      <c r="W74" s="12">
        <v>1</v>
      </c>
      <c r="X74" s="12" t="b">
        <v>1</v>
      </c>
      <c r="Y74" s="12" t="b">
        <v>1</v>
      </c>
      <c r="Z74" s="13" t="b">
        <v>1</v>
      </c>
    </row>
    <row r="75" spans="1:26">
      <c r="A75" t="s">
        <v>302</v>
      </c>
      <c r="B75" t="s">
        <v>100</v>
      </c>
      <c r="C75" t="s">
        <v>303</v>
      </c>
      <c r="D75" t="s">
        <v>79</v>
      </c>
      <c r="E75" t="s">
        <v>79</v>
      </c>
      <c r="F75" t="s">
        <v>304</v>
      </c>
      <c r="H75" t="s">
        <v>82</v>
      </c>
      <c r="K75" t="s">
        <v>305</v>
      </c>
      <c r="L75" t="s">
        <v>252</v>
      </c>
      <c r="M75" t="s">
        <v>24</v>
      </c>
      <c r="N75" t="s">
        <v>25</v>
      </c>
      <c r="Q75" s="11" t="s">
        <v>553</v>
      </c>
      <c r="R75" s="12" t="s">
        <v>303</v>
      </c>
      <c r="S75" s="12" t="s">
        <v>554</v>
      </c>
      <c r="T75" s="12">
        <v>0.86329999999999996</v>
      </c>
      <c r="U75" s="12">
        <v>249.63560000000001</v>
      </c>
      <c r="V75" s="12" t="s">
        <v>840</v>
      </c>
      <c r="W75" s="12">
        <v>3</v>
      </c>
      <c r="X75" s="12" t="b">
        <v>1</v>
      </c>
      <c r="Y75" s="12" t="b">
        <v>0</v>
      </c>
      <c r="Z75" s="13" t="b">
        <v>1</v>
      </c>
    </row>
    <row r="76" spans="1:26">
      <c r="A76" t="s">
        <v>306</v>
      </c>
      <c r="B76" t="s">
        <v>307</v>
      </c>
      <c r="C76" t="s">
        <v>308</v>
      </c>
      <c r="D76" t="s">
        <v>19</v>
      </c>
      <c r="E76" t="s">
        <v>20</v>
      </c>
      <c r="F76" t="s">
        <v>309</v>
      </c>
      <c r="H76" t="s">
        <v>310</v>
      </c>
      <c r="K76" t="s">
        <v>311</v>
      </c>
      <c r="L76" t="s">
        <v>252</v>
      </c>
      <c r="M76" t="s">
        <v>24</v>
      </c>
      <c r="N76" t="s">
        <v>25</v>
      </c>
      <c r="Q76" s="11" t="s">
        <v>556</v>
      </c>
      <c r="R76" s="12" t="s">
        <v>308</v>
      </c>
      <c r="S76" s="12" t="s">
        <v>308</v>
      </c>
      <c r="T76" s="12">
        <v>0.96130000000000004</v>
      </c>
      <c r="U76" s="12">
        <v>129.47999999999999</v>
      </c>
      <c r="V76" s="12" t="s">
        <v>841</v>
      </c>
      <c r="W76" s="12">
        <v>1</v>
      </c>
      <c r="X76" s="12" t="b">
        <v>1</v>
      </c>
      <c r="Y76" s="12" t="b">
        <v>1</v>
      </c>
      <c r="Z76" s="13" t="b">
        <v>1</v>
      </c>
    </row>
    <row r="77" spans="1:26">
      <c r="A77" t="s">
        <v>184</v>
      </c>
      <c r="B77" t="s">
        <v>185</v>
      </c>
      <c r="C77" t="s">
        <v>186</v>
      </c>
      <c r="D77" t="s">
        <v>19</v>
      </c>
      <c r="E77" t="s">
        <v>20</v>
      </c>
      <c r="F77" t="s">
        <v>185</v>
      </c>
      <c r="L77" t="s">
        <v>312</v>
      </c>
      <c r="M77" t="s">
        <v>24</v>
      </c>
      <c r="N77" t="s">
        <v>25</v>
      </c>
      <c r="Q77" s="11" t="s">
        <v>185</v>
      </c>
      <c r="R77" s="12" t="s">
        <v>186</v>
      </c>
      <c r="S77" s="12" t="s">
        <v>558</v>
      </c>
      <c r="T77" s="12">
        <v>0.97199999999999998</v>
      </c>
      <c r="U77" s="12">
        <v>501.52589999999998</v>
      </c>
      <c r="V77" s="12" t="s">
        <v>842</v>
      </c>
      <c r="W77" s="12">
        <v>2</v>
      </c>
      <c r="X77" s="12" t="b">
        <v>1</v>
      </c>
      <c r="Y77" s="12" t="b">
        <v>0</v>
      </c>
      <c r="Z77" s="13" t="b">
        <v>1</v>
      </c>
    </row>
    <row r="78" spans="1:26">
      <c r="A78" t="s">
        <v>313</v>
      </c>
      <c r="B78" t="s">
        <v>221</v>
      </c>
      <c r="C78" t="s">
        <v>314</v>
      </c>
      <c r="D78" t="s">
        <v>127</v>
      </c>
      <c r="E78" t="s">
        <v>127</v>
      </c>
      <c r="F78" t="s">
        <v>221</v>
      </c>
      <c r="L78" t="s">
        <v>312</v>
      </c>
      <c r="M78" t="s">
        <v>24</v>
      </c>
      <c r="Q78" s="11" t="s">
        <v>221</v>
      </c>
      <c r="R78" s="12" t="s">
        <v>314</v>
      </c>
      <c r="S78" s="12" t="s">
        <v>560</v>
      </c>
      <c r="T78" s="12">
        <v>1</v>
      </c>
      <c r="U78" s="12">
        <v>610.61699999999996</v>
      </c>
      <c r="V78" s="12" t="s">
        <v>561</v>
      </c>
      <c r="W78" s="12">
        <v>3</v>
      </c>
      <c r="X78" s="12" t="b">
        <v>1</v>
      </c>
      <c r="Y78" s="12" t="b">
        <v>0</v>
      </c>
      <c r="Z78" s="13" t="b">
        <v>1</v>
      </c>
    </row>
    <row r="79" spans="1:26">
      <c r="A79" t="s">
        <v>315</v>
      </c>
      <c r="B79" t="s">
        <v>316</v>
      </c>
      <c r="C79" t="s">
        <v>317</v>
      </c>
      <c r="D79" t="s">
        <v>44</v>
      </c>
      <c r="E79" t="s">
        <v>20</v>
      </c>
      <c r="F79" t="s">
        <v>316</v>
      </c>
      <c r="L79" t="s">
        <v>312</v>
      </c>
      <c r="M79" t="s">
        <v>24</v>
      </c>
      <c r="Q79" s="11" t="s">
        <v>316</v>
      </c>
      <c r="R79" s="12" t="s">
        <v>317</v>
      </c>
      <c r="S79" s="12" t="s">
        <v>562</v>
      </c>
      <c r="T79" s="12">
        <v>1</v>
      </c>
      <c r="U79" s="12">
        <v>793.46770000000004</v>
      </c>
      <c r="V79" s="12" t="s">
        <v>843</v>
      </c>
      <c r="W79" s="12">
        <v>5</v>
      </c>
      <c r="X79" s="12" t="b">
        <v>1</v>
      </c>
      <c r="Y79" s="12" t="b">
        <v>0</v>
      </c>
      <c r="Z79" s="13" t="b">
        <v>1</v>
      </c>
    </row>
    <row r="80" spans="1:26">
      <c r="A80" t="s">
        <v>318</v>
      </c>
      <c r="B80" t="s">
        <v>316</v>
      </c>
      <c r="C80" t="s">
        <v>319</v>
      </c>
      <c r="D80" t="s">
        <v>127</v>
      </c>
      <c r="E80" t="s">
        <v>127</v>
      </c>
      <c r="F80" t="s">
        <v>316</v>
      </c>
      <c r="L80" t="s">
        <v>312</v>
      </c>
      <c r="M80" t="s">
        <v>24</v>
      </c>
      <c r="Q80" s="11" t="s">
        <v>316</v>
      </c>
      <c r="R80" s="12" t="s">
        <v>319</v>
      </c>
      <c r="S80" s="12" t="s">
        <v>562</v>
      </c>
      <c r="T80" s="12">
        <v>1</v>
      </c>
      <c r="U80" s="12">
        <v>793.46770000000004</v>
      </c>
      <c r="V80" s="12" t="s">
        <v>843</v>
      </c>
      <c r="W80" s="12">
        <v>4</v>
      </c>
      <c r="X80" s="12" t="b">
        <v>1</v>
      </c>
      <c r="Y80" s="12" t="b">
        <v>0</v>
      </c>
      <c r="Z80" s="13" t="b">
        <v>1</v>
      </c>
    </row>
    <row r="81" spans="1:26">
      <c r="A81" t="s">
        <v>320</v>
      </c>
      <c r="B81" t="s">
        <v>321</v>
      </c>
      <c r="C81" t="s">
        <v>322</v>
      </c>
      <c r="D81" t="s">
        <v>127</v>
      </c>
      <c r="E81" t="s">
        <v>127</v>
      </c>
      <c r="F81" t="s">
        <v>321</v>
      </c>
      <c r="L81" t="s">
        <v>312</v>
      </c>
      <c r="M81" t="s">
        <v>24</v>
      </c>
      <c r="Q81" s="11" t="s">
        <v>321</v>
      </c>
      <c r="R81" s="12" t="s">
        <v>322</v>
      </c>
      <c r="S81" s="12" t="s">
        <v>322</v>
      </c>
      <c r="T81" s="12">
        <v>1</v>
      </c>
      <c r="U81" s="12">
        <v>620.44169999999997</v>
      </c>
      <c r="V81" s="12" t="s">
        <v>844</v>
      </c>
      <c r="W81" s="12">
        <v>1</v>
      </c>
      <c r="X81" s="12" t="b">
        <v>1</v>
      </c>
      <c r="Y81" s="12" t="b">
        <v>1</v>
      </c>
      <c r="Z81" s="13" t="b">
        <v>1</v>
      </c>
    </row>
    <row r="82" spans="1:26">
      <c r="A82" t="s">
        <v>324</v>
      </c>
      <c r="B82" t="s">
        <v>148</v>
      </c>
      <c r="C82" t="s">
        <v>325</v>
      </c>
      <c r="D82" t="s">
        <v>79</v>
      </c>
      <c r="E82" t="s">
        <v>20</v>
      </c>
      <c r="F82" t="s">
        <v>148</v>
      </c>
      <c r="L82" t="s">
        <v>312</v>
      </c>
      <c r="M82" t="s">
        <v>24</v>
      </c>
      <c r="Q82" s="11" t="s">
        <v>148</v>
      </c>
      <c r="R82" s="12" t="s">
        <v>325</v>
      </c>
      <c r="S82" s="12" t="s">
        <v>325</v>
      </c>
      <c r="T82" s="12">
        <v>0.89439999999999997</v>
      </c>
      <c r="U82" s="12">
        <v>304.70159999999998</v>
      </c>
      <c r="V82" s="12" t="s">
        <v>565</v>
      </c>
      <c r="W82" s="12">
        <v>1</v>
      </c>
      <c r="X82" s="12" t="b">
        <v>1</v>
      </c>
      <c r="Y82" s="12" t="b">
        <v>1</v>
      </c>
      <c r="Z82" s="13" t="b">
        <v>1</v>
      </c>
    </row>
    <row r="83" spans="1:26">
      <c r="A83" t="s">
        <v>326</v>
      </c>
      <c r="B83" t="s">
        <v>100</v>
      </c>
      <c r="C83" t="s">
        <v>101</v>
      </c>
      <c r="D83" t="s">
        <v>44</v>
      </c>
      <c r="E83" t="s">
        <v>20</v>
      </c>
      <c r="F83" t="s">
        <v>100</v>
      </c>
      <c r="L83" t="s">
        <v>312</v>
      </c>
      <c r="M83" t="s">
        <v>24</v>
      </c>
      <c r="Q83" s="11" t="s">
        <v>100</v>
      </c>
      <c r="R83" s="12" t="s">
        <v>101</v>
      </c>
      <c r="S83" s="12" t="s">
        <v>303</v>
      </c>
      <c r="T83" s="12">
        <v>1</v>
      </c>
      <c r="U83" s="12">
        <v>753.01900000000001</v>
      </c>
      <c r="V83" s="12" t="s">
        <v>845</v>
      </c>
      <c r="W83" s="12">
        <v>4</v>
      </c>
      <c r="X83" s="12" t="b">
        <v>1</v>
      </c>
      <c r="Y83" s="12" t="b">
        <v>0</v>
      </c>
      <c r="Z83" s="13" t="b">
        <v>1</v>
      </c>
    </row>
    <row r="84" spans="1:26">
      <c r="A84" t="s">
        <v>199</v>
      </c>
      <c r="B84" t="s">
        <v>200</v>
      </c>
      <c r="C84" t="s">
        <v>201</v>
      </c>
      <c r="D84" t="s">
        <v>19</v>
      </c>
      <c r="E84" t="s">
        <v>20</v>
      </c>
      <c r="F84" t="s">
        <v>200</v>
      </c>
      <c r="L84" t="s">
        <v>312</v>
      </c>
      <c r="M84" t="s">
        <v>24</v>
      </c>
      <c r="Q84" s="11" t="s">
        <v>200</v>
      </c>
      <c r="R84" s="12" t="s">
        <v>201</v>
      </c>
      <c r="S84" s="12" t="s">
        <v>567</v>
      </c>
      <c r="T84" s="12">
        <v>0.94130000000000003</v>
      </c>
      <c r="U84" s="12">
        <v>411.87729999999999</v>
      </c>
      <c r="V84" s="12" t="s">
        <v>568</v>
      </c>
      <c r="W84" s="12">
        <v>3</v>
      </c>
      <c r="X84" s="12" t="b">
        <v>1</v>
      </c>
      <c r="Y84" s="12" t="b">
        <v>0</v>
      </c>
      <c r="Z84" s="13" t="b">
        <v>1</v>
      </c>
    </row>
    <row r="85" spans="1:26">
      <c r="A85" t="s">
        <v>327</v>
      </c>
      <c r="B85" t="s">
        <v>328</v>
      </c>
      <c r="C85" t="s">
        <v>329</v>
      </c>
      <c r="D85" t="s">
        <v>127</v>
      </c>
      <c r="E85" t="s">
        <v>127</v>
      </c>
      <c r="F85" t="s">
        <v>328</v>
      </c>
      <c r="L85" t="s">
        <v>312</v>
      </c>
      <c r="M85" t="s">
        <v>24</v>
      </c>
      <c r="Q85" s="11" t="s">
        <v>328</v>
      </c>
      <c r="R85" s="12" t="s">
        <v>329</v>
      </c>
      <c r="S85" s="12" t="s">
        <v>569</v>
      </c>
      <c r="T85" s="12">
        <v>0.97660000000000002</v>
      </c>
      <c r="U85" s="12">
        <v>516.41189999999995</v>
      </c>
      <c r="V85" s="12" t="s">
        <v>570</v>
      </c>
      <c r="W85" s="12">
        <v>3</v>
      </c>
      <c r="X85" s="12" t="b">
        <v>1</v>
      </c>
      <c r="Y85" s="12" t="b">
        <v>0</v>
      </c>
      <c r="Z85" s="13" t="b">
        <v>1</v>
      </c>
    </row>
    <row r="86" spans="1:26">
      <c r="A86" t="s">
        <v>330</v>
      </c>
      <c r="B86" t="s">
        <v>331</v>
      </c>
      <c r="C86" t="s">
        <v>332</v>
      </c>
      <c r="D86" t="s">
        <v>79</v>
      </c>
      <c r="E86" t="s">
        <v>20</v>
      </c>
      <c r="G86" t="s">
        <v>330</v>
      </c>
      <c r="L86" t="s">
        <v>334</v>
      </c>
      <c r="M86" t="s">
        <v>24</v>
      </c>
      <c r="Q86" s="11" t="s">
        <v>330</v>
      </c>
      <c r="R86" s="12" t="s">
        <v>332</v>
      </c>
      <c r="S86" s="12" t="s">
        <v>332</v>
      </c>
      <c r="T86" s="12">
        <v>1.0355000000000001</v>
      </c>
      <c r="U86" s="12">
        <v>208.8176</v>
      </c>
      <c r="V86" s="12" t="s">
        <v>846</v>
      </c>
      <c r="W86" s="12">
        <v>1</v>
      </c>
      <c r="X86" s="12" t="b">
        <v>1</v>
      </c>
      <c r="Y86" s="12" t="b">
        <v>1</v>
      </c>
      <c r="Z86" s="13" t="b">
        <v>1</v>
      </c>
    </row>
    <row r="87" spans="1:26">
      <c r="A87" t="s">
        <v>335</v>
      </c>
      <c r="B87" t="s">
        <v>335</v>
      </c>
      <c r="C87" t="s">
        <v>336</v>
      </c>
      <c r="D87" t="s">
        <v>79</v>
      </c>
      <c r="E87" t="s">
        <v>20</v>
      </c>
      <c r="G87" t="s">
        <v>338</v>
      </c>
      <c r="L87" t="s">
        <v>334</v>
      </c>
      <c r="M87" t="s">
        <v>24</v>
      </c>
      <c r="Q87" s="11" t="s">
        <v>338</v>
      </c>
      <c r="R87" s="12" t="s">
        <v>336</v>
      </c>
      <c r="S87" s="12" t="s">
        <v>336</v>
      </c>
      <c r="T87" s="12">
        <v>1.0609999999999999</v>
      </c>
      <c r="U87" s="12">
        <v>245.98310000000001</v>
      </c>
      <c r="V87" s="12" t="s">
        <v>847</v>
      </c>
      <c r="W87" s="12">
        <v>1</v>
      </c>
      <c r="X87" s="12" t="b">
        <v>1</v>
      </c>
      <c r="Y87" s="12" t="b">
        <v>1</v>
      </c>
      <c r="Z87" s="13" t="b">
        <v>1</v>
      </c>
    </row>
    <row r="88" spans="1:26">
      <c r="A88" t="s">
        <v>339</v>
      </c>
      <c r="B88" t="s">
        <v>340</v>
      </c>
      <c r="C88" t="s">
        <v>341</v>
      </c>
      <c r="D88" t="s">
        <v>127</v>
      </c>
      <c r="E88" t="s">
        <v>127</v>
      </c>
      <c r="G88" t="s">
        <v>342</v>
      </c>
      <c r="L88" t="s">
        <v>334</v>
      </c>
      <c r="M88" t="s">
        <v>24</v>
      </c>
      <c r="Q88" s="11" t="s">
        <v>342</v>
      </c>
      <c r="R88" s="12" t="s">
        <v>341</v>
      </c>
      <c r="S88" s="12" t="s">
        <v>341</v>
      </c>
      <c r="T88" s="12">
        <v>1.133</v>
      </c>
      <c r="U88" s="12">
        <v>390.46280000000002</v>
      </c>
      <c r="V88" s="12" t="s">
        <v>848</v>
      </c>
      <c r="W88" s="12">
        <v>1</v>
      </c>
      <c r="X88" s="12" t="b">
        <v>1</v>
      </c>
      <c r="Y88" s="12" t="b">
        <v>1</v>
      </c>
      <c r="Z88" s="13" t="b">
        <v>1</v>
      </c>
    </row>
    <row r="89" spans="1:26">
      <c r="A89" t="s">
        <v>343</v>
      </c>
      <c r="B89" t="s">
        <v>344</v>
      </c>
      <c r="C89" t="s">
        <v>345</v>
      </c>
      <c r="D89" t="s">
        <v>19</v>
      </c>
      <c r="E89" t="s">
        <v>20</v>
      </c>
      <c r="G89" t="s">
        <v>347</v>
      </c>
      <c r="L89" t="s">
        <v>334</v>
      </c>
      <c r="M89" t="s">
        <v>24</v>
      </c>
      <c r="Q89" s="11" t="s">
        <v>347</v>
      </c>
      <c r="R89" s="12" t="s">
        <v>345</v>
      </c>
      <c r="S89" s="12" t="s">
        <v>574</v>
      </c>
      <c r="T89" s="12">
        <v>0.97240000000000004</v>
      </c>
      <c r="U89" s="12">
        <v>139.12029999999999</v>
      </c>
      <c r="V89" s="12" t="s">
        <v>849</v>
      </c>
      <c r="W89" s="12">
        <v>2</v>
      </c>
      <c r="X89" s="12" t="b">
        <v>1</v>
      </c>
      <c r="Y89" s="12" t="b">
        <v>0</v>
      </c>
      <c r="Z89" s="13" t="b">
        <v>1</v>
      </c>
    </row>
    <row r="90" spans="1:26">
      <c r="A90" t="s">
        <v>348</v>
      </c>
      <c r="B90" t="s">
        <v>349</v>
      </c>
      <c r="C90" t="s">
        <v>350</v>
      </c>
      <c r="D90" t="s">
        <v>127</v>
      </c>
      <c r="E90" t="s">
        <v>127</v>
      </c>
      <c r="G90" t="s">
        <v>352</v>
      </c>
      <c r="L90" t="s">
        <v>334</v>
      </c>
      <c r="M90" t="s">
        <v>24</v>
      </c>
      <c r="Q90" s="11" t="s">
        <v>352</v>
      </c>
      <c r="R90" s="12" t="s">
        <v>350</v>
      </c>
      <c r="S90" s="12" t="s">
        <v>350</v>
      </c>
      <c r="T90" s="12">
        <v>0.99450000000000005</v>
      </c>
      <c r="U90" s="12">
        <v>160.38130000000001</v>
      </c>
      <c r="V90" s="12" t="s">
        <v>850</v>
      </c>
      <c r="W90" s="12">
        <v>1</v>
      </c>
      <c r="X90" s="12" t="b">
        <v>1</v>
      </c>
      <c r="Y90" s="12" t="b">
        <v>1</v>
      </c>
      <c r="Z90" s="13" t="b">
        <v>1</v>
      </c>
    </row>
    <row r="91" spans="1:26">
      <c r="A91" t="s">
        <v>353</v>
      </c>
      <c r="B91" t="s">
        <v>241</v>
      </c>
      <c r="C91" t="s">
        <v>242</v>
      </c>
      <c r="D91" t="s">
        <v>19</v>
      </c>
      <c r="E91" t="s">
        <v>20</v>
      </c>
      <c r="G91" t="s">
        <v>355</v>
      </c>
      <c r="L91" t="s">
        <v>334</v>
      </c>
      <c r="M91" t="s">
        <v>24</v>
      </c>
      <c r="Q91" s="11" t="s">
        <v>355</v>
      </c>
      <c r="R91" s="12" t="s">
        <v>242</v>
      </c>
      <c r="S91" s="12" t="s">
        <v>242</v>
      </c>
      <c r="T91" s="12">
        <v>0.98609999999999998</v>
      </c>
      <c r="U91" s="12">
        <v>151.96940000000001</v>
      </c>
      <c r="V91" s="12" t="s">
        <v>851</v>
      </c>
      <c r="W91" s="12">
        <v>1</v>
      </c>
      <c r="X91" s="12" t="b">
        <v>1</v>
      </c>
      <c r="Y91" s="12" t="b">
        <v>1</v>
      </c>
      <c r="Z91" s="13" t="b">
        <v>1</v>
      </c>
    </row>
    <row r="92" spans="1:26">
      <c r="A92" s="2" t="s">
        <v>356</v>
      </c>
      <c r="B92" s="2" t="s">
        <v>266</v>
      </c>
      <c r="C92" s="2" t="s">
        <v>357</v>
      </c>
      <c r="D92" s="2" t="s">
        <v>79</v>
      </c>
      <c r="E92" s="2" t="s">
        <v>20</v>
      </c>
      <c r="F92" s="2"/>
      <c r="G92" s="2" t="s">
        <v>358</v>
      </c>
      <c r="H92" s="2"/>
      <c r="I92" s="2"/>
      <c r="J92" s="2"/>
      <c r="K92" s="2"/>
      <c r="L92" s="2" t="s">
        <v>334</v>
      </c>
      <c r="M92" s="2" t="s">
        <v>24</v>
      </c>
      <c r="N92" s="2"/>
      <c r="Q92" s="11" t="s">
        <v>358</v>
      </c>
      <c r="R92" s="12" t="s">
        <v>357</v>
      </c>
      <c r="S92" s="12" t="s">
        <v>578</v>
      </c>
      <c r="T92" s="12">
        <v>0.76080000000000003</v>
      </c>
      <c r="U92" s="12">
        <v>35.183500000000002</v>
      </c>
      <c r="V92" s="12" t="s">
        <v>852</v>
      </c>
      <c r="W92" s="12"/>
      <c r="X92" s="12" t="b">
        <v>1</v>
      </c>
      <c r="Y92" s="12" t="b">
        <v>0</v>
      </c>
      <c r="Z92" s="13" t="b">
        <v>0</v>
      </c>
    </row>
    <row r="93" spans="1:26">
      <c r="A93" t="s">
        <v>359</v>
      </c>
      <c r="B93" t="s">
        <v>360</v>
      </c>
      <c r="C93" t="s">
        <v>361</v>
      </c>
      <c r="D93" t="s">
        <v>127</v>
      </c>
      <c r="E93" t="s">
        <v>127</v>
      </c>
      <c r="G93" t="s">
        <v>363</v>
      </c>
      <c r="L93" t="s">
        <v>334</v>
      </c>
      <c r="M93" t="s">
        <v>24</v>
      </c>
      <c r="Q93" s="11" t="s">
        <v>363</v>
      </c>
      <c r="R93" s="12" t="s">
        <v>361</v>
      </c>
      <c r="S93" s="12" t="s">
        <v>361</v>
      </c>
      <c r="T93" s="12">
        <v>0.97850000000000004</v>
      </c>
      <c r="U93" s="12">
        <v>144.6908</v>
      </c>
      <c r="V93" s="12" t="s">
        <v>853</v>
      </c>
      <c r="W93" s="12">
        <v>1</v>
      </c>
      <c r="X93" s="12" t="b">
        <v>1</v>
      </c>
      <c r="Y93" s="12" t="b">
        <v>1</v>
      </c>
      <c r="Z93" s="13" t="b">
        <v>1</v>
      </c>
    </row>
    <row r="94" spans="1:26">
      <c r="A94" t="s">
        <v>364</v>
      </c>
      <c r="B94" t="s">
        <v>365</v>
      </c>
      <c r="C94" t="s">
        <v>366</v>
      </c>
      <c r="D94" t="s">
        <v>19</v>
      </c>
      <c r="E94" t="s">
        <v>20</v>
      </c>
      <c r="G94" t="s">
        <v>368</v>
      </c>
      <c r="L94" t="s">
        <v>334</v>
      </c>
      <c r="M94" t="s">
        <v>24</v>
      </c>
      <c r="Q94" s="11" t="s">
        <v>368</v>
      </c>
      <c r="R94" s="12" t="s">
        <v>366</v>
      </c>
      <c r="S94" s="12" t="s">
        <v>581</v>
      </c>
      <c r="T94" s="12">
        <v>0.93149999999999999</v>
      </c>
      <c r="U94" s="12">
        <v>106.8295</v>
      </c>
      <c r="V94" s="12" t="s">
        <v>854</v>
      </c>
      <c r="W94" s="12">
        <v>16</v>
      </c>
      <c r="X94" s="12" t="b">
        <v>1</v>
      </c>
      <c r="Y94" s="12" t="b">
        <v>0</v>
      </c>
      <c r="Z94" s="13" t="b">
        <v>1</v>
      </c>
    </row>
    <row r="95" spans="1:26">
      <c r="A95" t="s">
        <v>37</v>
      </c>
      <c r="B95" t="s">
        <v>38</v>
      </c>
      <c r="C95" t="s">
        <v>369</v>
      </c>
      <c r="D95" t="s">
        <v>127</v>
      </c>
      <c r="E95" t="s">
        <v>127</v>
      </c>
      <c r="G95" t="s">
        <v>371</v>
      </c>
      <c r="L95" t="s">
        <v>372</v>
      </c>
      <c r="M95" t="s">
        <v>24</v>
      </c>
      <c r="Q95" s="11" t="s">
        <v>371</v>
      </c>
      <c r="R95" s="12" t="s">
        <v>369</v>
      </c>
      <c r="S95" s="12" t="s">
        <v>369</v>
      </c>
      <c r="T95" s="12">
        <v>1.0549999999999999</v>
      </c>
      <c r="U95" s="12">
        <v>236.679</v>
      </c>
      <c r="V95" s="12" t="s">
        <v>855</v>
      </c>
      <c r="W95" s="12">
        <v>1</v>
      </c>
      <c r="X95" s="12" t="b">
        <v>1</v>
      </c>
      <c r="Y95" s="12" t="b">
        <v>1</v>
      </c>
      <c r="Z95" s="13" t="b">
        <v>1</v>
      </c>
    </row>
    <row r="96" spans="1:26">
      <c r="A96" t="s">
        <v>373</v>
      </c>
      <c r="B96" t="s">
        <v>271</v>
      </c>
      <c r="C96" t="s">
        <v>374</v>
      </c>
      <c r="D96" t="s">
        <v>127</v>
      </c>
      <c r="E96" t="s">
        <v>127</v>
      </c>
      <c r="G96" t="s">
        <v>375</v>
      </c>
      <c r="L96" t="s">
        <v>372</v>
      </c>
      <c r="M96" t="s">
        <v>24</v>
      </c>
      <c r="Q96" s="11" t="s">
        <v>375</v>
      </c>
      <c r="R96" s="12" t="s">
        <v>374</v>
      </c>
      <c r="S96" s="12" t="s">
        <v>374</v>
      </c>
      <c r="T96" s="12">
        <v>1.0004999999999999</v>
      </c>
      <c r="U96" s="12">
        <v>166.6491</v>
      </c>
      <c r="V96" s="12" t="s">
        <v>856</v>
      </c>
      <c r="W96" s="12">
        <v>1</v>
      </c>
      <c r="X96" s="12" t="b">
        <v>1</v>
      </c>
      <c r="Y96" s="12" t="b">
        <v>1</v>
      </c>
      <c r="Z96" s="13" t="b">
        <v>1</v>
      </c>
    </row>
    <row r="97" spans="1:26">
      <c r="A97" t="s">
        <v>376</v>
      </c>
      <c r="B97" t="s">
        <v>377</v>
      </c>
      <c r="C97" t="s">
        <v>378</v>
      </c>
      <c r="D97" t="s">
        <v>379</v>
      </c>
      <c r="E97" t="s">
        <v>379</v>
      </c>
      <c r="G97" t="s">
        <v>381</v>
      </c>
      <c r="L97" t="s">
        <v>372</v>
      </c>
      <c r="M97" t="s">
        <v>24</v>
      </c>
      <c r="Q97" s="11" t="s">
        <v>381</v>
      </c>
      <c r="R97" s="12" t="s">
        <v>378</v>
      </c>
      <c r="S97" s="12" t="s">
        <v>585</v>
      </c>
      <c r="T97" s="12">
        <v>0.872</v>
      </c>
      <c r="U97" s="12">
        <v>72.669300000000007</v>
      </c>
      <c r="V97" s="12" t="s">
        <v>857</v>
      </c>
      <c r="W97" s="12">
        <v>16</v>
      </c>
      <c r="X97" s="12" t="b">
        <v>1</v>
      </c>
      <c r="Y97" s="12" t="b">
        <v>0</v>
      </c>
      <c r="Z97" s="13" t="b">
        <v>1</v>
      </c>
    </row>
    <row r="98" spans="1:26">
      <c r="A98" t="s">
        <v>382</v>
      </c>
      <c r="B98" t="s">
        <v>383</v>
      </c>
      <c r="C98" t="s">
        <v>384</v>
      </c>
      <c r="D98" t="s">
        <v>127</v>
      </c>
      <c r="E98" t="s">
        <v>127</v>
      </c>
      <c r="G98" t="s">
        <v>386</v>
      </c>
      <c r="L98" t="s">
        <v>372</v>
      </c>
      <c r="M98" t="s">
        <v>24</v>
      </c>
      <c r="Q98" s="11" t="s">
        <v>386</v>
      </c>
      <c r="R98" s="12" t="s">
        <v>384</v>
      </c>
      <c r="S98" s="12" t="s">
        <v>384</v>
      </c>
      <c r="T98" s="12">
        <v>1.0783</v>
      </c>
      <c r="U98" s="12">
        <v>274.85969999999998</v>
      </c>
      <c r="V98" s="12" t="s">
        <v>858</v>
      </c>
      <c r="W98" s="12">
        <v>1</v>
      </c>
      <c r="X98" s="12" t="b">
        <v>1</v>
      </c>
      <c r="Y98" s="12" t="b">
        <v>1</v>
      </c>
      <c r="Z98" s="13" t="b">
        <v>1</v>
      </c>
    </row>
    <row r="99" spans="1:26">
      <c r="A99" t="s">
        <v>382</v>
      </c>
      <c r="B99" t="s">
        <v>383</v>
      </c>
      <c r="C99" t="s">
        <v>384</v>
      </c>
      <c r="D99" t="s">
        <v>127</v>
      </c>
      <c r="E99" t="s">
        <v>127</v>
      </c>
      <c r="G99" t="s">
        <v>387</v>
      </c>
      <c r="L99" t="s">
        <v>372</v>
      </c>
      <c r="M99" t="s">
        <v>24</v>
      </c>
      <c r="Q99" s="11" t="s">
        <v>387</v>
      </c>
      <c r="R99" s="12" t="s">
        <v>384</v>
      </c>
      <c r="S99" s="12" t="s">
        <v>384</v>
      </c>
      <c r="T99" s="12">
        <v>1.0783</v>
      </c>
      <c r="U99" s="12">
        <v>274.85969999999998</v>
      </c>
      <c r="V99" s="12" t="s">
        <v>859</v>
      </c>
      <c r="W99" s="12">
        <v>1</v>
      </c>
      <c r="X99" s="12" t="b">
        <v>1</v>
      </c>
      <c r="Y99" s="12" t="b">
        <v>1</v>
      </c>
      <c r="Z99" s="13" t="b">
        <v>1</v>
      </c>
    </row>
    <row r="100" spans="1:26">
      <c r="A100" t="s">
        <v>388</v>
      </c>
      <c r="B100" t="s">
        <v>389</v>
      </c>
      <c r="C100" t="s">
        <v>390</v>
      </c>
      <c r="D100" t="s">
        <v>127</v>
      </c>
      <c r="E100" t="s">
        <v>127</v>
      </c>
      <c r="G100" t="s">
        <v>392</v>
      </c>
      <c r="L100" t="s">
        <v>372</v>
      </c>
      <c r="M100" t="s">
        <v>24</v>
      </c>
      <c r="Q100" s="11" t="s">
        <v>392</v>
      </c>
      <c r="R100" s="12" t="s">
        <v>390</v>
      </c>
      <c r="S100" s="12" t="s">
        <v>390</v>
      </c>
      <c r="T100" s="12">
        <v>0.95220000000000005</v>
      </c>
      <c r="U100" s="12">
        <v>122.1253</v>
      </c>
      <c r="V100" s="12" t="s">
        <v>860</v>
      </c>
      <c r="W100" s="12">
        <v>1</v>
      </c>
      <c r="X100" s="12" t="b">
        <v>1</v>
      </c>
      <c r="Y100" s="12" t="b">
        <v>1</v>
      </c>
      <c r="Z100" s="13" t="b">
        <v>1</v>
      </c>
    </row>
    <row r="101" spans="1:26">
      <c r="A101" t="s">
        <v>348</v>
      </c>
      <c r="B101" t="s">
        <v>349</v>
      </c>
      <c r="C101" t="s">
        <v>350</v>
      </c>
      <c r="D101" t="s">
        <v>127</v>
      </c>
      <c r="E101" t="s">
        <v>127</v>
      </c>
      <c r="G101" t="s">
        <v>352</v>
      </c>
      <c r="L101" t="s">
        <v>372</v>
      </c>
      <c r="M101" t="s">
        <v>24</v>
      </c>
      <c r="Q101" s="11" t="s">
        <v>352</v>
      </c>
      <c r="R101" s="12" t="s">
        <v>350</v>
      </c>
      <c r="S101" s="12" t="s">
        <v>350</v>
      </c>
      <c r="T101" s="12">
        <v>0.99450000000000005</v>
      </c>
      <c r="U101" s="12">
        <v>160.38130000000001</v>
      </c>
      <c r="V101" s="12" t="s">
        <v>850</v>
      </c>
      <c r="W101" s="12">
        <v>1</v>
      </c>
      <c r="X101" s="12" t="b">
        <v>1</v>
      </c>
      <c r="Y101" s="12" t="b">
        <v>1</v>
      </c>
      <c r="Z101" s="13" t="b">
        <v>1</v>
      </c>
    </row>
    <row r="102" spans="1:26">
      <c r="A102" t="s">
        <v>393</v>
      </c>
      <c r="B102" t="s">
        <v>344</v>
      </c>
      <c r="C102" t="s">
        <v>394</v>
      </c>
      <c r="D102" t="s">
        <v>127</v>
      </c>
      <c r="E102" t="s">
        <v>127</v>
      </c>
      <c r="G102" t="s">
        <v>395</v>
      </c>
      <c r="L102" t="s">
        <v>372</v>
      </c>
      <c r="M102" t="s">
        <v>24</v>
      </c>
      <c r="Q102" s="11" t="s">
        <v>395</v>
      </c>
      <c r="R102" s="12" t="s">
        <v>394</v>
      </c>
      <c r="S102" s="12" t="s">
        <v>394</v>
      </c>
      <c r="T102" s="12">
        <v>0.9627</v>
      </c>
      <c r="U102" s="12">
        <v>130.64340000000001</v>
      </c>
      <c r="V102" s="12" t="s">
        <v>861</v>
      </c>
      <c r="W102" s="12">
        <v>1</v>
      </c>
      <c r="X102" s="12" t="b">
        <v>1</v>
      </c>
      <c r="Y102" s="12" t="b">
        <v>1</v>
      </c>
      <c r="Z102" s="13" t="b">
        <v>1</v>
      </c>
    </row>
    <row r="103" spans="1:26">
      <c r="A103" t="s">
        <v>396</v>
      </c>
      <c r="B103" t="s">
        <v>397</v>
      </c>
      <c r="C103" t="s">
        <v>398</v>
      </c>
      <c r="D103" t="s">
        <v>127</v>
      </c>
      <c r="E103" t="s">
        <v>127</v>
      </c>
      <c r="G103" t="s">
        <v>400</v>
      </c>
      <c r="L103" t="s">
        <v>372</v>
      </c>
      <c r="M103" t="s">
        <v>24</v>
      </c>
      <c r="Q103" s="11" t="s">
        <v>400</v>
      </c>
      <c r="R103" s="12" t="s">
        <v>398</v>
      </c>
      <c r="S103" s="12" t="s">
        <v>398</v>
      </c>
      <c r="T103" s="12">
        <v>0.91739999999999999</v>
      </c>
      <c r="U103" s="12">
        <v>97.502799999999993</v>
      </c>
      <c r="V103" s="12" t="s">
        <v>862</v>
      </c>
      <c r="W103" s="12">
        <v>1</v>
      </c>
      <c r="X103" s="12" t="b">
        <v>1</v>
      </c>
      <c r="Y103" s="12" t="b">
        <v>1</v>
      </c>
      <c r="Z103" s="13" t="b">
        <v>1</v>
      </c>
    </row>
    <row r="104" spans="1:26">
      <c r="A104" t="s">
        <v>401</v>
      </c>
      <c r="B104" t="s">
        <v>397</v>
      </c>
      <c r="C104" t="s">
        <v>402</v>
      </c>
      <c r="D104" t="s">
        <v>379</v>
      </c>
      <c r="E104" t="s">
        <v>379</v>
      </c>
      <c r="G104" t="s">
        <v>403</v>
      </c>
      <c r="L104" t="s">
        <v>372</v>
      </c>
      <c r="M104" t="s">
        <v>24</v>
      </c>
      <c r="Q104" s="11" t="s">
        <v>403</v>
      </c>
      <c r="R104" s="12" t="s">
        <v>402</v>
      </c>
      <c r="S104" s="12" t="s">
        <v>398</v>
      </c>
      <c r="T104" s="12">
        <v>0.88</v>
      </c>
      <c r="U104" s="12">
        <v>76.573400000000007</v>
      </c>
      <c r="V104" s="12" t="s">
        <v>863</v>
      </c>
      <c r="W104" s="12">
        <v>16</v>
      </c>
      <c r="X104" s="12" t="b">
        <v>1</v>
      </c>
      <c r="Y104" s="12" t="b">
        <v>0</v>
      </c>
      <c r="Z104" s="13" t="b">
        <v>1</v>
      </c>
    </row>
    <row r="105" spans="1:26">
      <c r="A105" t="s">
        <v>404</v>
      </c>
      <c r="B105" t="s">
        <v>405</v>
      </c>
      <c r="C105" t="s">
        <v>406</v>
      </c>
      <c r="D105" t="s">
        <v>127</v>
      </c>
      <c r="E105" t="s">
        <v>127</v>
      </c>
      <c r="G105" t="s">
        <v>404</v>
      </c>
      <c r="L105" t="s">
        <v>372</v>
      </c>
      <c r="M105" t="s">
        <v>24</v>
      </c>
      <c r="Q105" s="11" t="s">
        <v>404</v>
      </c>
      <c r="R105" s="12" t="s">
        <v>406</v>
      </c>
      <c r="S105" s="12" t="s">
        <v>406</v>
      </c>
      <c r="T105" s="12">
        <v>1.0508999999999999</v>
      </c>
      <c r="U105" s="12">
        <v>230.54509999999999</v>
      </c>
      <c r="V105" s="12" t="s">
        <v>864</v>
      </c>
      <c r="W105" s="12">
        <v>1</v>
      </c>
      <c r="X105" s="12" t="b">
        <v>1</v>
      </c>
      <c r="Y105" s="12" t="b">
        <v>1</v>
      </c>
      <c r="Z105" s="13" t="b">
        <v>1</v>
      </c>
    </row>
    <row r="106" spans="1:26">
      <c r="A106" t="s">
        <v>408</v>
      </c>
      <c r="B106" t="s">
        <v>405</v>
      </c>
      <c r="C106" t="s">
        <v>409</v>
      </c>
      <c r="D106" t="s">
        <v>379</v>
      </c>
      <c r="E106" t="s">
        <v>379</v>
      </c>
      <c r="G106" t="s">
        <v>408</v>
      </c>
      <c r="L106" t="s">
        <v>372</v>
      </c>
      <c r="M106" t="s">
        <v>24</v>
      </c>
      <c r="Q106" s="11" t="s">
        <v>408</v>
      </c>
      <c r="R106" s="12" t="s">
        <v>409</v>
      </c>
      <c r="S106" s="12" t="s">
        <v>409</v>
      </c>
      <c r="T106" s="12">
        <v>1.0530999999999999</v>
      </c>
      <c r="U106" s="12">
        <v>233.709</v>
      </c>
      <c r="V106" s="12" t="s">
        <v>865</v>
      </c>
      <c r="W106" s="12">
        <v>1</v>
      </c>
      <c r="X106" s="12" t="b">
        <v>1</v>
      </c>
      <c r="Y106" s="12" t="b">
        <v>1</v>
      </c>
      <c r="Z106" s="13" t="b">
        <v>1</v>
      </c>
    </row>
    <row r="107" spans="1:26">
      <c r="A107" t="s">
        <v>410</v>
      </c>
      <c r="B107" t="s">
        <v>595</v>
      </c>
      <c r="C107" t="s">
        <v>411</v>
      </c>
      <c r="D107" t="s">
        <v>127</v>
      </c>
      <c r="E107" t="s">
        <v>127</v>
      </c>
      <c r="G107" t="s">
        <v>412</v>
      </c>
      <c r="L107" t="s">
        <v>372</v>
      </c>
      <c r="M107" t="s">
        <v>24</v>
      </c>
      <c r="Q107" s="11" t="s">
        <v>412</v>
      </c>
      <c r="R107" s="12" t="s">
        <v>411</v>
      </c>
      <c r="S107" s="12" t="s">
        <v>411</v>
      </c>
      <c r="T107" s="12">
        <v>1.0448</v>
      </c>
      <c r="U107" s="12">
        <v>221.69499999999999</v>
      </c>
      <c r="V107" s="12" t="s">
        <v>866</v>
      </c>
      <c r="W107" s="12">
        <v>1</v>
      </c>
      <c r="X107" s="12" t="b">
        <v>1</v>
      </c>
      <c r="Y107" s="12" t="b">
        <v>1</v>
      </c>
      <c r="Z107" s="13" t="b">
        <v>1</v>
      </c>
    </row>
    <row r="108" spans="1:26">
      <c r="A108" t="s">
        <v>413</v>
      </c>
      <c r="B108" t="s">
        <v>331</v>
      </c>
      <c r="C108" t="s">
        <v>414</v>
      </c>
      <c r="D108" t="s">
        <v>127</v>
      </c>
      <c r="E108" t="s">
        <v>127</v>
      </c>
      <c r="G108" t="s">
        <v>415</v>
      </c>
      <c r="L108" t="s">
        <v>372</v>
      </c>
      <c r="M108" t="s">
        <v>24</v>
      </c>
      <c r="Q108" s="14" t="s">
        <v>415</v>
      </c>
      <c r="R108" s="15" t="s">
        <v>414</v>
      </c>
      <c r="S108" s="15" t="s">
        <v>414</v>
      </c>
      <c r="T108" s="15">
        <v>0.97119999999999995</v>
      </c>
      <c r="U108" s="15">
        <v>138.0215</v>
      </c>
      <c r="V108" s="15" t="s">
        <v>867</v>
      </c>
      <c r="W108" s="15">
        <v>1</v>
      </c>
      <c r="X108" s="15" t="b">
        <v>1</v>
      </c>
      <c r="Y108" s="15" t="b">
        <v>1</v>
      </c>
      <c r="Z108" s="16" t="b">
        <v>1</v>
      </c>
    </row>
  </sheetData>
  <mergeCells count="2">
    <mergeCell ref="A8:E8"/>
    <mergeCell ref="F8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B1CA-06A7-454D-A371-00A93D42822A}">
  <dimension ref="A1:AD105"/>
  <sheetViews>
    <sheetView topLeftCell="U1" workbookViewId="0">
      <selection activeCell="AC4" sqref="AC4"/>
    </sheetView>
  </sheetViews>
  <sheetFormatPr defaultRowHeight="15"/>
  <cols>
    <col min="1" max="1" width="32.28515625" customWidth="1"/>
    <col min="2" max="2" width="28.140625" customWidth="1"/>
    <col min="3" max="3" width="20.28515625" customWidth="1"/>
    <col min="4" max="4" width="20.42578125" customWidth="1"/>
    <col min="5" max="5" width="18.7109375" customWidth="1"/>
    <col min="6" max="6" width="33.28515625" customWidth="1"/>
    <col min="7" max="7" width="21.7109375" customWidth="1"/>
    <col min="8" max="8" width="14.7109375" customWidth="1"/>
    <col min="9" max="9" width="13" customWidth="1"/>
    <col min="12" max="12" width="25.7109375" customWidth="1"/>
    <col min="14" max="14" width="26.140625" bestFit="1" customWidth="1"/>
    <col min="15" max="15" width="15.42578125" customWidth="1"/>
    <col min="16" max="16" width="37.5703125" customWidth="1"/>
    <col min="17" max="17" width="26.28515625" customWidth="1"/>
    <col min="18" max="18" width="19.28515625" customWidth="1"/>
    <col min="21" max="21" width="13.85546875" customWidth="1"/>
    <col min="22" max="22" width="26.140625" customWidth="1"/>
    <col min="27" max="27" width="23.42578125" customWidth="1"/>
  </cols>
  <sheetData>
    <row r="1" spans="1:30" ht="70.5" customHeight="1">
      <c r="A1" s="18" t="s">
        <v>423</v>
      </c>
      <c r="B1" s="17" t="s">
        <v>868</v>
      </c>
      <c r="G1" t="s">
        <v>869</v>
      </c>
      <c r="H1" t="s">
        <v>870</v>
      </c>
      <c r="AA1" t="s">
        <v>871</v>
      </c>
      <c r="AB1">
        <f>COUNTA(P10:P197)</f>
        <v>96</v>
      </c>
    </row>
    <row r="2" spans="1:30">
      <c r="A2" t="s">
        <v>425</v>
      </c>
      <c r="G2" t="s">
        <v>872</v>
      </c>
      <c r="H2" t="s">
        <v>873</v>
      </c>
      <c r="AA2" t="s">
        <v>874</v>
      </c>
      <c r="AB2">
        <f>COUNTIFS(X10:X197, "1")</f>
        <v>81</v>
      </c>
      <c r="AC2" s="21">
        <f>AB2/AB1</f>
        <v>0.84375</v>
      </c>
    </row>
    <row r="3" spans="1:30">
      <c r="A3" t="s">
        <v>416</v>
      </c>
      <c r="B3" t="s">
        <v>875</v>
      </c>
      <c r="G3" t="s">
        <v>876</v>
      </c>
      <c r="H3" t="s">
        <v>877</v>
      </c>
    </row>
    <row r="4" spans="1:30">
      <c r="A4" t="s">
        <v>427</v>
      </c>
      <c r="AA4" s="2" t="str" cm="1">
        <f t="array" ref="AA4:AA7">_xlfn.UNIQUE(N10:N197)</f>
        <v>Company Match</v>
      </c>
      <c r="AB4" s="2">
        <f>COUNTIFS(N10:N197, AA4)</f>
        <v>50</v>
      </c>
      <c r="AC4" s="2">
        <f>COUNTIFS(N10:N197, AA4, X10:X197, "1")</f>
        <v>46</v>
      </c>
      <c r="AD4" s="32">
        <f>AC4/AB4</f>
        <v>0.92</v>
      </c>
    </row>
    <row r="5" spans="1:30">
      <c r="A5" t="s">
        <v>428</v>
      </c>
      <c r="AA5" s="2" t="str">
        <v>Security Match</v>
      </c>
      <c r="AB5" s="2">
        <f>COUNTIFS(N11:N198, AA5)</f>
        <v>31</v>
      </c>
      <c r="AC5" s="2">
        <f>COUNTIFS(N11:N198, AA5, X11:X198, "1")</f>
        <v>30</v>
      </c>
      <c r="AD5" s="32">
        <f t="shared" ref="AD5:AD7" si="0">AC5/AB5</f>
        <v>0.967741935483871</v>
      </c>
    </row>
    <row r="6" spans="1:30">
      <c r="AA6" s="2" t="str">
        <v>Company Knowledge Match</v>
      </c>
      <c r="AB6" s="2">
        <f>COUNTIFS(N12:N199, AA6)</f>
        <v>15</v>
      </c>
      <c r="AC6" s="2">
        <f>COUNTIFS(N12:N199, AA6, X12:X199, "1")</f>
        <v>5</v>
      </c>
      <c r="AD6" s="32">
        <f t="shared" si="0"/>
        <v>0.33333333333333331</v>
      </c>
    </row>
    <row r="7" spans="1:30">
      <c r="AA7">
        <v>0</v>
      </c>
      <c r="AD7" s="21"/>
    </row>
    <row r="8" spans="1:30">
      <c r="A8" s="46" t="s">
        <v>429</v>
      </c>
      <c r="B8" s="46"/>
      <c r="C8" s="46"/>
      <c r="D8" s="46"/>
      <c r="E8" s="46"/>
      <c r="F8" s="47" t="s">
        <v>430</v>
      </c>
      <c r="G8" s="47"/>
      <c r="H8" s="47"/>
      <c r="I8" s="47"/>
      <c r="J8" s="47"/>
      <c r="K8" s="47"/>
      <c r="L8" s="47"/>
      <c r="AD8" s="21"/>
    </row>
    <row r="9" spans="1:30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432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P9" s="19" t="s">
        <v>698</v>
      </c>
      <c r="Q9" s="20" t="s">
        <v>878</v>
      </c>
      <c r="R9" s="20" t="s">
        <v>879</v>
      </c>
      <c r="S9" s="20" t="s">
        <v>880</v>
      </c>
      <c r="T9" s="20" t="s">
        <v>701</v>
      </c>
      <c r="U9" s="20" t="s">
        <v>702</v>
      </c>
      <c r="V9" s="20" t="s">
        <v>881</v>
      </c>
      <c r="W9" s="20" t="s">
        <v>882</v>
      </c>
      <c r="X9" s="20" t="s">
        <v>883</v>
      </c>
      <c r="Y9" s="20" t="s">
        <v>705</v>
      </c>
    </row>
    <row r="10" spans="1:3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16</v>
      </c>
      <c r="G10" t="s">
        <v>21</v>
      </c>
      <c r="H10" t="s">
        <v>22</v>
      </c>
      <c r="L10" t="s">
        <v>23</v>
      </c>
      <c r="M10" t="s">
        <v>24</v>
      </c>
      <c r="N10" t="s">
        <v>25</v>
      </c>
      <c r="P10" s="11" t="s">
        <v>21</v>
      </c>
      <c r="Q10" s="12" t="s">
        <v>17</v>
      </c>
      <c r="R10" s="12" t="s">
        <v>884</v>
      </c>
      <c r="S10" s="12" t="b">
        <v>0</v>
      </c>
      <c r="T10" s="12">
        <v>1.0112000000000001</v>
      </c>
      <c r="U10" s="12">
        <v>178.52690000000001</v>
      </c>
      <c r="V10" s="12" t="s">
        <v>885</v>
      </c>
      <c r="W10" s="12" t="b">
        <v>1</v>
      </c>
      <c r="X10" s="12">
        <v>4</v>
      </c>
      <c r="Y10" s="13" t="b">
        <v>1</v>
      </c>
    </row>
    <row r="11" spans="1:30">
      <c r="A11" t="s">
        <v>26</v>
      </c>
      <c r="B11" t="s">
        <v>27</v>
      </c>
      <c r="C11" t="s">
        <v>28</v>
      </c>
      <c r="D11" t="s">
        <v>19</v>
      </c>
      <c r="E11" t="s">
        <v>20</v>
      </c>
      <c r="F11" t="s">
        <v>29</v>
      </c>
      <c r="G11" t="s">
        <v>30</v>
      </c>
      <c r="L11" t="s">
        <v>23</v>
      </c>
      <c r="M11" t="s">
        <v>24</v>
      </c>
      <c r="N11" t="s">
        <v>31</v>
      </c>
      <c r="P11" s="11" t="s">
        <v>30</v>
      </c>
      <c r="Q11" s="12" t="s">
        <v>27</v>
      </c>
      <c r="R11" s="12" t="s">
        <v>27</v>
      </c>
      <c r="S11" s="12" t="b">
        <v>1</v>
      </c>
      <c r="T11" s="12">
        <v>0.90069999999999995</v>
      </c>
      <c r="U11" s="12">
        <v>317.40030000000002</v>
      </c>
      <c r="V11" s="12" t="s">
        <v>886</v>
      </c>
      <c r="W11" s="12" t="b">
        <v>1</v>
      </c>
      <c r="X11" s="12">
        <v>1</v>
      </c>
      <c r="Y11" s="13" t="b">
        <v>1</v>
      </c>
    </row>
    <row r="12" spans="1:30">
      <c r="A12" t="s">
        <v>32</v>
      </c>
      <c r="B12" t="s">
        <v>33</v>
      </c>
      <c r="C12" t="s">
        <v>34</v>
      </c>
      <c r="D12" t="s">
        <v>19</v>
      </c>
      <c r="E12" t="s">
        <v>20</v>
      </c>
      <c r="F12" t="s">
        <v>32</v>
      </c>
      <c r="G12" t="s">
        <v>35</v>
      </c>
      <c r="H12" t="s">
        <v>22</v>
      </c>
      <c r="I12" t="s">
        <v>36</v>
      </c>
      <c r="L12" t="s">
        <v>23</v>
      </c>
      <c r="M12" t="s">
        <v>24</v>
      </c>
      <c r="N12" t="s">
        <v>31</v>
      </c>
      <c r="P12" s="11" t="s">
        <v>35</v>
      </c>
      <c r="Q12" s="12" t="s">
        <v>33</v>
      </c>
      <c r="R12" s="12" t="s">
        <v>33</v>
      </c>
      <c r="S12" s="12" t="b">
        <v>1</v>
      </c>
      <c r="T12" s="12">
        <v>0.94969999999999999</v>
      </c>
      <c r="U12" s="12">
        <v>120.16630000000001</v>
      </c>
      <c r="V12" s="12" t="s">
        <v>887</v>
      </c>
      <c r="W12" s="12" t="b">
        <v>1</v>
      </c>
      <c r="X12" s="12">
        <v>1</v>
      </c>
      <c r="Y12" s="13" t="b">
        <v>1</v>
      </c>
    </row>
    <row r="13" spans="1:30">
      <c r="A13" t="s">
        <v>37</v>
      </c>
      <c r="B13" t="s">
        <v>38</v>
      </c>
      <c r="C13" t="s">
        <v>39</v>
      </c>
      <c r="D13" t="s">
        <v>19</v>
      </c>
      <c r="E13" t="s">
        <v>20</v>
      </c>
      <c r="F13" t="s">
        <v>37</v>
      </c>
      <c r="G13" t="s">
        <v>40</v>
      </c>
      <c r="H13" t="s">
        <v>22</v>
      </c>
      <c r="L13" t="s">
        <v>23</v>
      </c>
      <c r="M13" t="s">
        <v>24</v>
      </c>
      <c r="N13" t="s">
        <v>31</v>
      </c>
      <c r="P13" s="11" t="s">
        <v>446</v>
      </c>
      <c r="Q13" s="12" t="s">
        <v>38</v>
      </c>
      <c r="R13" s="12" t="s">
        <v>38</v>
      </c>
      <c r="S13" s="12" t="b">
        <v>1</v>
      </c>
      <c r="T13" s="12">
        <v>1.1100000000000001</v>
      </c>
      <c r="U13" s="12">
        <v>336.96039999999999</v>
      </c>
      <c r="V13" s="12" t="s">
        <v>888</v>
      </c>
      <c r="W13" s="12" t="b">
        <v>1</v>
      </c>
      <c r="X13" s="12">
        <v>1</v>
      </c>
      <c r="Y13" s="13" t="b">
        <v>1</v>
      </c>
    </row>
    <row r="14" spans="1:30">
      <c r="A14" t="s">
        <v>41</v>
      </c>
      <c r="B14" t="s">
        <v>42</v>
      </c>
      <c r="C14" t="s">
        <v>43</v>
      </c>
      <c r="D14" t="s">
        <v>44</v>
      </c>
      <c r="E14" t="s">
        <v>20</v>
      </c>
      <c r="F14" t="s">
        <v>45</v>
      </c>
      <c r="G14" t="s">
        <v>46</v>
      </c>
      <c r="H14" t="s">
        <v>47</v>
      </c>
      <c r="I14" t="s">
        <v>48</v>
      </c>
      <c r="L14" t="s">
        <v>23</v>
      </c>
      <c r="M14" t="s">
        <v>24</v>
      </c>
      <c r="N14" t="s">
        <v>49</v>
      </c>
      <c r="P14" s="11" t="s">
        <v>46</v>
      </c>
      <c r="Q14" s="12" t="s">
        <v>42</v>
      </c>
      <c r="R14" s="12" t="s">
        <v>42</v>
      </c>
      <c r="S14" s="12" t="b">
        <v>1</v>
      </c>
      <c r="T14" s="12">
        <v>1.1312</v>
      </c>
      <c r="U14" s="12">
        <v>203.01859999999999</v>
      </c>
      <c r="V14" s="12" t="s">
        <v>889</v>
      </c>
      <c r="W14" s="12" t="b">
        <v>1</v>
      </c>
      <c r="X14" s="12">
        <v>1</v>
      </c>
      <c r="Y14" s="13" t="b">
        <v>1</v>
      </c>
    </row>
    <row r="15" spans="1:30">
      <c r="A15" t="s">
        <v>41</v>
      </c>
      <c r="B15" t="s">
        <v>42</v>
      </c>
      <c r="C15" t="s">
        <v>50</v>
      </c>
      <c r="D15" t="s">
        <v>19</v>
      </c>
      <c r="E15" t="s">
        <v>20</v>
      </c>
      <c r="F15" t="s">
        <v>45</v>
      </c>
      <c r="G15" t="s">
        <v>51</v>
      </c>
      <c r="H15" t="s">
        <v>22</v>
      </c>
      <c r="I15" t="s">
        <v>52</v>
      </c>
      <c r="L15" t="s">
        <v>23</v>
      </c>
      <c r="M15" t="s">
        <v>24</v>
      </c>
      <c r="N15" t="s">
        <v>49</v>
      </c>
      <c r="P15" s="11" t="s">
        <v>51</v>
      </c>
      <c r="Q15" s="12" t="s">
        <v>42</v>
      </c>
      <c r="R15" s="12" t="s">
        <v>42</v>
      </c>
      <c r="S15" s="12" t="b">
        <v>1</v>
      </c>
      <c r="T15" s="12">
        <v>1.0378000000000001</v>
      </c>
      <c r="U15" s="12">
        <v>211.88380000000001</v>
      </c>
      <c r="V15" s="12" t="s">
        <v>890</v>
      </c>
      <c r="W15" s="12" t="b">
        <v>1</v>
      </c>
      <c r="X15" s="12">
        <v>1</v>
      </c>
      <c r="Y15" s="13" t="b">
        <v>1</v>
      </c>
    </row>
    <row r="16" spans="1:30">
      <c r="A16" t="s">
        <v>53</v>
      </c>
      <c r="B16" t="s">
        <v>54</v>
      </c>
      <c r="C16" t="s">
        <v>55</v>
      </c>
      <c r="D16" t="s">
        <v>19</v>
      </c>
      <c r="E16" t="s">
        <v>20</v>
      </c>
      <c r="F16" t="s">
        <v>53</v>
      </c>
      <c r="G16" t="s">
        <v>56</v>
      </c>
      <c r="H16" t="s">
        <v>22</v>
      </c>
      <c r="I16" t="s">
        <v>57</v>
      </c>
      <c r="L16" t="s">
        <v>23</v>
      </c>
      <c r="M16" t="s">
        <v>24</v>
      </c>
      <c r="N16" t="s">
        <v>25</v>
      </c>
      <c r="P16" s="11" t="s">
        <v>450</v>
      </c>
      <c r="Q16" s="12" t="s">
        <v>54</v>
      </c>
      <c r="R16" s="12" t="s">
        <v>54</v>
      </c>
      <c r="S16" s="12" t="b">
        <v>1</v>
      </c>
      <c r="T16" s="12">
        <v>1.0276000000000001</v>
      </c>
      <c r="U16" s="12">
        <v>198.38650000000001</v>
      </c>
      <c r="V16" s="12" t="s">
        <v>891</v>
      </c>
      <c r="W16" s="12" t="b">
        <v>1</v>
      </c>
      <c r="X16" s="12">
        <v>1</v>
      </c>
      <c r="Y16" s="13" t="b">
        <v>1</v>
      </c>
    </row>
    <row r="17" spans="1:25">
      <c r="A17" t="s">
        <v>58</v>
      </c>
      <c r="B17" t="s">
        <v>59</v>
      </c>
      <c r="C17" t="s">
        <v>60</v>
      </c>
      <c r="D17" t="s">
        <v>44</v>
      </c>
      <c r="E17" t="s">
        <v>20</v>
      </c>
      <c r="F17" t="s">
        <v>61</v>
      </c>
      <c r="G17" t="s">
        <v>62</v>
      </c>
      <c r="H17" t="s">
        <v>47</v>
      </c>
      <c r="L17" t="s">
        <v>23</v>
      </c>
      <c r="M17" t="s">
        <v>24</v>
      </c>
      <c r="N17" t="s">
        <v>25</v>
      </c>
      <c r="P17" s="11" t="s">
        <v>62</v>
      </c>
      <c r="Q17" s="12" t="s">
        <v>59</v>
      </c>
      <c r="R17" s="12" t="s">
        <v>59</v>
      </c>
      <c r="S17" s="12" t="b">
        <v>1</v>
      </c>
      <c r="T17" s="12">
        <v>1.0057</v>
      </c>
      <c r="U17" s="12">
        <v>90.406199999999998</v>
      </c>
      <c r="V17" s="12" t="s">
        <v>892</v>
      </c>
      <c r="W17" s="12" t="b">
        <v>1</v>
      </c>
      <c r="X17" s="12">
        <v>1</v>
      </c>
      <c r="Y17" s="13" t="b">
        <v>1</v>
      </c>
    </row>
    <row r="18" spans="1:25">
      <c r="A18" t="s">
        <v>63</v>
      </c>
      <c r="B18" t="s">
        <v>64</v>
      </c>
      <c r="C18" t="s">
        <v>65</v>
      </c>
      <c r="D18" t="s">
        <v>19</v>
      </c>
      <c r="E18" t="s">
        <v>20</v>
      </c>
      <c r="F18" t="s">
        <v>66</v>
      </c>
      <c r="G18" t="s">
        <v>67</v>
      </c>
      <c r="H18" t="s">
        <v>22</v>
      </c>
      <c r="L18" t="s">
        <v>23</v>
      </c>
      <c r="M18" t="s">
        <v>24</v>
      </c>
      <c r="N18" t="s">
        <v>31</v>
      </c>
      <c r="P18" s="11" t="s">
        <v>67</v>
      </c>
      <c r="Q18" s="12" t="s">
        <v>64</v>
      </c>
      <c r="R18" s="12" t="s">
        <v>64</v>
      </c>
      <c r="S18" s="12" t="b">
        <v>1</v>
      </c>
      <c r="T18" s="12">
        <v>1.1022000000000001</v>
      </c>
      <c r="U18" s="12">
        <v>320.39760000000001</v>
      </c>
      <c r="V18" s="12" t="s">
        <v>893</v>
      </c>
      <c r="W18" s="12" t="b">
        <v>1</v>
      </c>
      <c r="X18" s="12">
        <v>1</v>
      </c>
      <c r="Y18" s="13" t="b">
        <v>1</v>
      </c>
    </row>
    <row r="19" spans="1:25">
      <c r="A19" t="s">
        <v>68</v>
      </c>
      <c r="B19" t="s">
        <v>69</v>
      </c>
      <c r="C19" t="s">
        <v>70</v>
      </c>
      <c r="D19" t="s">
        <v>19</v>
      </c>
      <c r="E19" t="s">
        <v>20</v>
      </c>
      <c r="F19" t="s">
        <v>71</v>
      </c>
      <c r="G19" t="s">
        <v>72</v>
      </c>
      <c r="H19" t="s">
        <v>22</v>
      </c>
      <c r="I19" t="s">
        <v>73</v>
      </c>
      <c r="L19" t="s">
        <v>23</v>
      </c>
      <c r="M19" t="s">
        <v>24</v>
      </c>
      <c r="N19" t="s">
        <v>25</v>
      </c>
      <c r="P19" s="11" t="s">
        <v>72</v>
      </c>
      <c r="Q19" s="12" t="s">
        <v>69</v>
      </c>
      <c r="R19" s="12" t="s">
        <v>69</v>
      </c>
      <c r="S19" s="12" t="b">
        <v>1</v>
      </c>
      <c r="T19" s="12">
        <v>0.93179999999999996</v>
      </c>
      <c r="U19" s="12">
        <v>107.0239</v>
      </c>
      <c r="V19" s="12" t="s">
        <v>894</v>
      </c>
      <c r="W19" s="12" t="b">
        <v>1</v>
      </c>
      <c r="X19" s="12">
        <v>1</v>
      </c>
      <c r="Y19" s="13" t="b">
        <v>1</v>
      </c>
    </row>
    <row r="20" spans="1:25">
      <c r="A20" t="s">
        <v>68</v>
      </c>
      <c r="B20" t="s">
        <v>69</v>
      </c>
      <c r="C20" t="s">
        <v>70</v>
      </c>
      <c r="D20" t="s">
        <v>19</v>
      </c>
      <c r="E20" t="s">
        <v>20</v>
      </c>
      <c r="F20" t="s">
        <v>74</v>
      </c>
      <c r="G20" t="s">
        <v>75</v>
      </c>
      <c r="H20" t="s">
        <v>22</v>
      </c>
      <c r="I20" t="s">
        <v>73</v>
      </c>
      <c r="L20" t="s">
        <v>23</v>
      </c>
      <c r="M20" t="s">
        <v>24</v>
      </c>
      <c r="N20" t="s">
        <v>31</v>
      </c>
      <c r="P20" s="11" t="s">
        <v>618</v>
      </c>
      <c r="Q20" s="12" t="s">
        <v>69</v>
      </c>
      <c r="R20" s="12" t="s">
        <v>69</v>
      </c>
      <c r="S20" s="12" t="b">
        <v>1</v>
      </c>
      <c r="T20" s="12">
        <v>1.0411999999999999</v>
      </c>
      <c r="U20" s="12">
        <v>216.55529999999999</v>
      </c>
      <c r="V20" s="12" t="s">
        <v>895</v>
      </c>
      <c r="W20" s="12" t="b">
        <v>1</v>
      </c>
      <c r="X20" s="12">
        <v>1</v>
      </c>
      <c r="Y20" s="13" t="b">
        <v>1</v>
      </c>
    </row>
    <row r="21" spans="1:25">
      <c r="A21" t="s">
        <v>76</v>
      </c>
      <c r="B21" t="s">
        <v>77</v>
      </c>
      <c r="C21" t="s">
        <v>78</v>
      </c>
      <c r="D21" t="s">
        <v>79</v>
      </c>
      <c r="E21" t="s">
        <v>20</v>
      </c>
      <c r="F21" t="s">
        <v>80</v>
      </c>
      <c r="G21" t="s">
        <v>81</v>
      </c>
      <c r="H21" t="s">
        <v>82</v>
      </c>
      <c r="L21" t="s">
        <v>23</v>
      </c>
      <c r="M21" t="s">
        <v>24</v>
      </c>
      <c r="N21" t="s">
        <v>31</v>
      </c>
      <c r="P21" s="11" t="s">
        <v>81</v>
      </c>
      <c r="Q21" s="12" t="s">
        <v>77</v>
      </c>
      <c r="R21" s="12" t="s">
        <v>77</v>
      </c>
      <c r="S21" s="12" t="b">
        <v>1</v>
      </c>
      <c r="T21" s="12">
        <v>1.0687</v>
      </c>
      <c r="U21" s="12">
        <v>258.36520000000002</v>
      </c>
      <c r="V21" s="12" t="s">
        <v>896</v>
      </c>
      <c r="W21" s="12" t="b">
        <v>1</v>
      </c>
      <c r="X21" s="12">
        <v>1</v>
      </c>
      <c r="Y21" s="13" t="b">
        <v>1</v>
      </c>
    </row>
    <row r="22" spans="1:25">
      <c r="A22" t="s">
        <v>83</v>
      </c>
      <c r="B22" t="s">
        <v>84</v>
      </c>
      <c r="C22" t="s">
        <v>85</v>
      </c>
      <c r="D22" t="s">
        <v>79</v>
      </c>
      <c r="E22" t="s">
        <v>20</v>
      </c>
      <c r="F22" t="s">
        <v>86</v>
      </c>
      <c r="G22" t="s">
        <v>87</v>
      </c>
      <c r="H22" t="s">
        <v>82</v>
      </c>
      <c r="L22" t="s">
        <v>23</v>
      </c>
      <c r="M22" t="s">
        <v>24</v>
      </c>
      <c r="N22" t="s">
        <v>25</v>
      </c>
      <c r="P22" s="11" t="s">
        <v>87</v>
      </c>
      <c r="Q22" s="12" t="s">
        <v>84</v>
      </c>
      <c r="R22" s="12" t="s">
        <v>84</v>
      </c>
      <c r="S22" s="12" t="b">
        <v>1</v>
      </c>
      <c r="T22" s="12">
        <v>0.94379999999999997</v>
      </c>
      <c r="U22" s="12">
        <v>115.6314</v>
      </c>
      <c r="V22" s="12" t="s">
        <v>897</v>
      </c>
      <c r="W22" s="12" t="b">
        <v>1</v>
      </c>
      <c r="X22" s="12">
        <v>1</v>
      </c>
      <c r="Y22" s="13" t="b">
        <v>1</v>
      </c>
    </row>
    <row r="23" spans="1:25">
      <c r="A23" t="s">
        <v>88</v>
      </c>
      <c r="B23" t="s">
        <v>89</v>
      </c>
      <c r="C23" t="s">
        <v>90</v>
      </c>
      <c r="D23" t="s">
        <v>19</v>
      </c>
      <c r="E23" t="s">
        <v>20</v>
      </c>
      <c r="F23" t="s">
        <v>91</v>
      </c>
      <c r="G23" t="s">
        <v>92</v>
      </c>
      <c r="H23" t="s">
        <v>22</v>
      </c>
      <c r="I23" t="s">
        <v>93</v>
      </c>
      <c r="L23" t="s">
        <v>23</v>
      </c>
      <c r="M23" t="s">
        <v>24</v>
      </c>
      <c r="N23" t="s">
        <v>31</v>
      </c>
      <c r="P23" s="11" t="s">
        <v>92</v>
      </c>
      <c r="Q23" s="12" t="s">
        <v>89</v>
      </c>
      <c r="R23" s="12" t="s">
        <v>89</v>
      </c>
      <c r="S23" s="12" t="b">
        <v>1</v>
      </c>
      <c r="T23" s="12">
        <v>1.2</v>
      </c>
      <c r="U23" s="12">
        <v>783.97990000000004</v>
      </c>
      <c r="V23" s="12" t="s">
        <v>898</v>
      </c>
      <c r="W23" s="12" t="b">
        <v>1</v>
      </c>
      <c r="X23" s="12">
        <v>1</v>
      </c>
      <c r="Y23" s="13" t="b">
        <v>1</v>
      </c>
    </row>
    <row r="24" spans="1:25">
      <c r="A24" t="s">
        <v>94</v>
      </c>
      <c r="B24" t="s">
        <v>95</v>
      </c>
      <c r="C24" t="s">
        <v>96</v>
      </c>
      <c r="D24" t="s">
        <v>44</v>
      </c>
      <c r="E24" t="s">
        <v>20</v>
      </c>
      <c r="F24" t="s">
        <v>94</v>
      </c>
      <c r="G24" t="s">
        <v>97</v>
      </c>
      <c r="H24" t="s">
        <v>47</v>
      </c>
      <c r="I24" t="s">
        <v>98</v>
      </c>
      <c r="L24" t="s">
        <v>23</v>
      </c>
      <c r="M24" t="s">
        <v>24</v>
      </c>
      <c r="N24" t="s">
        <v>25</v>
      </c>
      <c r="P24" s="11" t="s">
        <v>97</v>
      </c>
      <c r="Q24" s="12" t="s">
        <v>95</v>
      </c>
      <c r="R24" s="12" t="s">
        <v>95</v>
      </c>
      <c r="S24" s="12" t="b">
        <v>1</v>
      </c>
      <c r="T24" s="12">
        <v>1.0212000000000001</v>
      </c>
      <c r="U24" s="12">
        <v>99.976399999999998</v>
      </c>
      <c r="V24" s="12" t="s">
        <v>899</v>
      </c>
      <c r="W24" s="12" t="b">
        <v>1</v>
      </c>
      <c r="X24" s="12">
        <v>1</v>
      </c>
      <c r="Y24" s="13" t="b">
        <v>1</v>
      </c>
    </row>
    <row r="25" spans="1:25">
      <c r="A25" t="s">
        <v>99</v>
      </c>
      <c r="B25" t="s">
        <v>100</v>
      </c>
      <c r="C25" t="s">
        <v>101</v>
      </c>
      <c r="D25" t="s">
        <v>44</v>
      </c>
      <c r="E25" t="s">
        <v>20</v>
      </c>
      <c r="F25" t="s">
        <v>102</v>
      </c>
      <c r="G25" t="s">
        <v>103</v>
      </c>
      <c r="H25" t="s">
        <v>47</v>
      </c>
      <c r="I25" t="s">
        <v>104</v>
      </c>
      <c r="L25" t="s">
        <v>23</v>
      </c>
      <c r="M25" t="s">
        <v>24</v>
      </c>
      <c r="N25" t="s">
        <v>31</v>
      </c>
      <c r="P25" s="11" t="s">
        <v>103</v>
      </c>
      <c r="Q25" s="12" t="s">
        <v>100</v>
      </c>
      <c r="R25" s="12" t="s">
        <v>100</v>
      </c>
      <c r="S25" s="12" t="b">
        <v>1</v>
      </c>
      <c r="T25" s="12">
        <v>1.1835</v>
      </c>
      <c r="U25" s="12">
        <v>284.11840000000001</v>
      </c>
      <c r="V25" s="12" t="s">
        <v>900</v>
      </c>
      <c r="W25" s="12" t="b">
        <v>1</v>
      </c>
      <c r="X25" s="12">
        <v>1</v>
      </c>
      <c r="Y25" s="13" t="b">
        <v>1</v>
      </c>
    </row>
    <row r="26" spans="1:25">
      <c r="A26" t="s">
        <v>105</v>
      </c>
      <c r="B26" t="s">
        <v>106</v>
      </c>
      <c r="C26" t="s">
        <v>107</v>
      </c>
      <c r="D26" t="s">
        <v>19</v>
      </c>
      <c r="E26" t="s">
        <v>20</v>
      </c>
      <c r="F26" t="s">
        <v>108</v>
      </c>
      <c r="G26" t="s">
        <v>109</v>
      </c>
      <c r="H26" t="s">
        <v>22</v>
      </c>
      <c r="I26" t="s">
        <v>110</v>
      </c>
      <c r="L26" t="s">
        <v>23</v>
      </c>
      <c r="M26" t="s">
        <v>24</v>
      </c>
      <c r="N26" t="s">
        <v>25</v>
      </c>
      <c r="P26" s="11" t="s">
        <v>109</v>
      </c>
      <c r="Q26" s="12" t="s">
        <v>106</v>
      </c>
      <c r="R26" s="12" t="s">
        <v>106</v>
      </c>
      <c r="S26" s="12" t="b">
        <v>1</v>
      </c>
      <c r="T26" s="12">
        <v>0.98580000000000001</v>
      </c>
      <c r="U26" s="12">
        <v>151.5907</v>
      </c>
      <c r="V26" s="12" t="s">
        <v>901</v>
      </c>
      <c r="W26" s="12" t="b">
        <v>1</v>
      </c>
      <c r="X26" s="12">
        <v>1</v>
      </c>
      <c r="Y26" s="13" t="b">
        <v>1</v>
      </c>
    </row>
    <row r="27" spans="1:25">
      <c r="A27" t="s">
        <v>111</v>
      </c>
      <c r="B27" t="s">
        <v>112</v>
      </c>
      <c r="C27" t="s">
        <v>113</v>
      </c>
      <c r="D27" t="s">
        <v>19</v>
      </c>
      <c r="E27" t="s">
        <v>20</v>
      </c>
      <c r="F27" t="s">
        <v>111</v>
      </c>
      <c r="G27" t="s">
        <v>114</v>
      </c>
      <c r="H27" t="s">
        <v>22</v>
      </c>
      <c r="L27" t="s">
        <v>23</v>
      </c>
      <c r="M27" t="s">
        <v>24</v>
      </c>
      <c r="N27" t="s">
        <v>25</v>
      </c>
      <c r="P27" s="11" t="s">
        <v>114</v>
      </c>
      <c r="Q27" s="12" t="s">
        <v>112</v>
      </c>
      <c r="R27" s="12" t="s">
        <v>112</v>
      </c>
      <c r="S27" s="12" t="b">
        <v>1</v>
      </c>
      <c r="T27" s="12">
        <v>0.92979999999999996</v>
      </c>
      <c r="U27" s="12">
        <v>105.6583</v>
      </c>
      <c r="V27" s="12" t="s">
        <v>902</v>
      </c>
      <c r="W27" s="12" t="b">
        <v>1</v>
      </c>
      <c r="X27" s="12">
        <v>1</v>
      </c>
      <c r="Y27" s="13" t="b">
        <v>1</v>
      </c>
    </row>
    <row r="28" spans="1:25">
      <c r="A28" t="s">
        <v>115</v>
      </c>
      <c r="B28" t="s">
        <v>116</v>
      </c>
      <c r="C28" t="s">
        <v>117</v>
      </c>
      <c r="D28" t="s">
        <v>19</v>
      </c>
      <c r="E28" t="s">
        <v>20</v>
      </c>
      <c r="F28" t="s">
        <v>118</v>
      </c>
      <c r="G28" t="s">
        <v>119</v>
      </c>
      <c r="H28" t="s">
        <v>22</v>
      </c>
      <c r="I28" t="s">
        <v>120</v>
      </c>
      <c r="L28" t="s">
        <v>23</v>
      </c>
      <c r="M28" t="s">
        <v>24</v>
      </c>
      <c r="N28" t="s">
        <v>25</v>
      </c>
      <c r="P28" s="11" t="s">
        <v>119</v>
      </c>
      <c r="Q28" s="12" t="s">
        <v>116</v>
      </c>
      <c r="R28" s="12" t="s">
        <v>116</v>
      </c>
      <c r="S28" s="12" t="b">
        <v>1</v>
      </c>
      <c r="T28" s="12">
        <v>0.89200000000000002</v>
      </c>
      <c r="U28" s="12">
        <v>82.7483</v>
      </c>
      <c r="V28" s="12" t="s">
        <v>903</v>
      </c>
      <c r="W28" s="12" t="b">
        <v>1</v>
      </c>
      <c r="X28" s="12">
        <v>1</v>
      </c>
      <c r="Y28" s="13" t="b">
        <v>1</v>
      </c>
    </row>
    <row r="29" spans="1:25">
      <c r="A29" t="s">
        <v>115</v>
      </c>
      <c r="B29" t="s">
        <v>116</v>
      </c>
      <c r="C29" t="s">
        <v>117</v>
      </c>
      <c r="D29" t="s">
        <v>19</v>
      </c>
      <c r="E29" t="s">
        <v>20</v>
      </c>
      <c r="F29" t="s">
        <v>121</v>
      </c>
      <c r="G29" t="s">
        <v>122</v>
      </c>
      <c r="H29" t="s">
        <v>22</v>
      </c>
      <c r="I29" t="s">
        <v>123</v>
      </c>
      <c r="L29" t="s">
        <v>23</v>
      </c>
      <c r="M29" t="s">
        <v>24</v>
      </c>
      <c r="N29" t="s">
        <v>31</v>
      </c>
      <c r="P29" s="11" t="s">
        <v>122</v>
      </c>
      <c r="Q29" s="12" t="s">
        <v>116</v>
      </c>
      <c r="R29" s="12" t="s">
        <v>116</v>
      </c>
      <c r="S29" s="12" t="b">
        <v>1</v>
      </c>
      <c r="T29" s="12">
        <v>1.0882000000000001</v>
      </c>
      <c r="U29" s="12">
        <v>292.85550000000001</v>
      </c>
      <c r="V29" s="12" t="s">
        <v>904</v>
      </c>
      <c r="W29" s="12" t="b">
        <v>1</v>
      </c>
      <c r="X29" s="12">
        <v>1</v>
      </c>
      <c r="Y29" s="13" t="b">
        <v>1</v>
      </c>
    </row>
    <row r="30" spans="1:25">
      <c r="A30" t="s">
        <v>124</v>
      </c>
      <c r="B30" t="s">
        <v>125</v>
      </c>
      <c r="C30" t="s">
        <v>126</v>
      </c>
      <c r="D30" t="s">
        <v>127</v>
      </c>
      <c r="E30" t="s">
        <v>127</v>
      </c>
      <c r="F30" t="s">
        <v>128</v>
      </c>
      <c r="G30" t="s">
        <v>128</v>
      </c>
      <c r="L30" t="s">
        <v>23</v>
      </c>
      <c r="M30" t="s">
        <v>24</v>
      </c>
      <c r="N30" t="s">
        <v>31</v>
      </c>
      <c r="P30" s="11" t="s">
        <v>128</v>
      </c>
      <c r="Q30" s="12" t="s">
        <v>125</v>
      </c>
      <c r="R30" s="12" t="s">
        <v>125</v>
      </c>
      <c r="S30" s="12" t="b">
        <v>1</v>
      </c>
      <c r="T30" s="12">
        <v>0.78039999999999998</v>
      </c>
      <c r="U30" s="12">
        <v>146.48779999999999</v>
      </c>
      <c r="V30" s="12" t="s">
        <v>905</v>
      </c>
      <c r="W30" s="12" t="b">
        <v>1</v>
      </c>
      <c r="X30" s="12">
        <v>1</v>
      </c>
      <c r="Y30" s="13" t="b">
        <v>1</v>
      </c>
    </row>
    <row r="31" spans="1:25">
      <c r="A31" t="s">
        <v>129</v>
      </c>
      <c r="B31" t="s">
        <v>130</v>
      </c>
      <c r="C31" t="s">
        <v>131</v>
      </c>
      <c r="D31" t="s">
        <v>127</v>
      </c>
      <c r="E31" t="s">
        <v>127</v>
      </c>
      <c r="F31" t="s">
        <v>132</v>
      </c>
      <c r="G31" t="s">
        <v>133</v>
      </c>
      <c r="L31" t="s">
        <v>23</v>
      </c>
      <c r="M31" t="s">
        <v>24</v>
      </c>
      <c r="N31" t="s">
        <v>31</v>
      </c>
      <c r="P31" s="11" t="s">
        <v>133</v>
      </c>
      <c r="Q31" s="12" t="s">
        <v>130</v>
      </c>
      <c r="R31" s="12" t="s">
        <v>130</v>
      </c>
      <c r="S31" s="12" t="b">
        <v>1</v>
      </c>
      <c r="T31" s="12">
        <v>0.85540000000000005</v>
      </c>
      <c r="U31" s="12">
        <v>237.19120000000001</v>
      </c>
      <c r="V31" s="12" t="s">
        <v>906</v>
      </c>
      <c r="W31" s="12" t="b">
        <v>1</v>
      </c>
      <c r="X31" s="12">
        <v>1</v>
      </c>
      <c r="Y31" s="13" t="b">
        <v>1</v>
      </c>
    </row>
    <row r="32" spans="1:25">
      <c r="A32" t="s">
        <v>134</v>
      </c>
      <c r="B32" t="s">
        <v>135</v>
      </c>
      <c r="C32" t="s">
        <v>136</v>
      </c>
      <c r="D32" t="s">
        <v>19</v>
      </c>
      <c r="E32" t="s">
        <v>20</v>
      </c>
      <c r="F32" t="s">
        <v>134</v>
      </c>
      <c r="G32" t="s">
        <v>137</v>
      </c>
      <c r="H32" t="s">
        <v>22</v>
      </c>
      <c r="L32" t="s">
        <v>23</v>
      </c>
      <c r="M32" t="s">
        <v>24</v>
      </c>
      <c r="N32" t="s">
        <v>25</v>
      </c>
      <c r="P32" s="11" t="s">
        <v>137</v>
      </c>
      <c r="Q32" s="12" t="s">
        <v>135</v>
      </c>
      <c r="R32" s="12" t="s">
        <v>135</v>
      </c>
      <c r="S32" s="12" t="b">
        <v>1</v>
      </c>
      <c r="T32" s="12">
        <v>1.0784</v>
      </c>
      <c r="U32" s="12">
        <v>274.95690000000002</v>
      </c>
      <c r="V32" s="12" t="s">
        <v>907</v>
      </c>
      <c r="W32" s="12" t="b">
        <v>1</v>
      </c>
      <c r="X32" s="12">
        <v>1</v>
      </c>
      <c r="Y32" s="13" t="b">
        <v>1</v>
      </c>
    </row>
    <row r="33" spans="1:25">
      <c r="A33" t="s">
        <v>138</v>
      </c>
      <c r="B33" t="s">
        <v>84</v>
      </c>
      <c r="C33" t="s">
        <v>139</v>
      </c>
      <c r="D33" t="s">
        <v>19</v>
      </c>
      <c r="E33" t="s">
        <v>20</v>
      </c>
      <c r="F33" t="s">
        <v>86</v>
      </c>
      <c r="G33" t="s">
        <v>140</v>
      </c>
      <c r="H33" t="s">
        <v>22</v>
      </c>
      <c r="I33" t="s">
        <v>141</v>
      </c>
      <c r="L33" t="s">
        <v>23</v>
      </c>
      <c r="M33" t="s">
        <v>24</v>
      </c>
      <c r="N33" t="s">
        <v>25</v>
      </c>
      <c r="P33" s="11" t="s">
        <v>140</v>
      </c>
      <c r="Q33" s="12" t="s">
        <v>84</v>
      </c>
      <c r="R33" s="12" t="s">
        <v>84</v>
      </c>
      <c r="S33" s="12" t="b">
        <v>1</v>
      </c>
      <c r="T33" s="12">
        <v>0.95899999999999996</v>
      </c>
      <c r="U33" s="12">
        <v>127.57089999999999</v>
      </c>
      <c r="V33" s="12" t="s">
        <v>908</v>
      </c>
      <c r="W33" s="12" t="b">
        <v>1</v>
      </c>
      <c r="X33" s="12">
        <v>1</v>
      </c>
      <c r="Y33" s="13" t="b">
        <v>1</v>
      </c>
    </row>
    <row r="34" spans="1:25">
      <c r="A34" t="s">
        <v>142</v>
      </c>
      <c r="B34" t="s">
        <v>143</v>
      </c>
      <c r="C34" t="s">
        <v>144</v>
      </c>
      <c r="D34" t="s">
        <v>19</v>
      </c>
      <c r="E34" t="s">
        <v>20</v>
      </c>
      <c r="F34" t="s">
        <v>145</v>
      </c>
      <c r="G34" t="s">
        <v>146</v>
      </c>
      <c r="H34" t="s">
        <v>22</v>
      </c>
      <c r="L34" t="s">
        <v>23</v>
      </c>
      <c r="M34" t="s">
        <v>24</v>
      </c>
      <c r="N34" t="s">
        <v>25</v>
      </c>
      <c r="P34" s="11" t="s">
        <v>146</v>
      </c>
      <c r="Q34" s="12" t="s">
        <v>143</v>
      </c>
      <c r="R34" s="12" t="s">
        <v>143</v>
      </c>
      <c r="S34" s="12" t="b">
        <v>1</v>
      </c>
      <c r="T34" s="12">
        <v>0.98809999999999998</v>
      </c>
      <c r="U34" s="12">
        <v>153.91739999999999</v>
      </c>
      <c r="V34" s="12" t="s">
        <v>909</v>
      </c>
      <c r="W34" s="12" t="b">
        <v>1</v>
      </c>
      <c r="X34" s="12">
        <v>1</v>
      </c>
      <c r="Y34" s="13" t="b">
        <v>1</v>
      </c>
    </row>
    <row r="35" spans="1:25">
      <c r="A35" t="s">
        <v>147</v>
      </c>
      <c r="B35" t="s">
        <v>148</v>
      </c>
      <c r="C35" t="s">
        <v>149</v>
      </c>
      <c r="D35" t="s">
        <v>19</v>
      </c>
      <c r="E35" t="s">
        <v>20</v>
      </c>
      <c r="F35" t="s">
        <v>147</v>
      </c>
      <c r="G35" t="s">
        <v>150</v>
      </c>
      <c r="H35" t="s">
        <v>22</v>
      </c>
      <c r="I35" t="s">
        <v>151</v>
      </c>
      <c r="L35" t="s">
        <v>23</v>
      </c>
      <c r="M35" t="s">
        <v>24</v>
      </c>
      <c r="N35" t="s">
        <v>25</v>
      </c>
      <c r="P35" s="11" t="s">
        <v>150</v>
      </c>
      <c r="Q35" s="12" t="s">
        <v>148</v>
      </c>
      <c r="R35" s="12" t="s">
        <v>148</v>
      </c>
      <c r="S35" s="12" t="b">
        <v>1</v>
      </c>
      <c r="T35" s="12">
        <v>0.92449999999999999</v>
      </c>
      <c r="U35" s="12">
        <v>102.08880000000001</v>
      </c>
      <c r="V35" s="12" t="s">
        <v>910</v>
      </c>
      <c r="W35" s="12" t="b">
        <v>1</v>
      </c>
      <c r="X35" s="12">
        <v>1</v>
      </c>
      <c r="Y35" s="13" t="b">
        <v>1</v>
      </c>
    </row>
    <row r="36" spans="1:25">
      <c r="A36" s="2" t="s">
        <v>152</v>
      </c>
      <c r="B36" s="2" t="s">
        <v>152</v>
      </c>
      <c r="C36" s="2" t="s">
        <v>153</v>
      </c>
      <c r="D36" s="2" t="s">
        <v>19</v>
      </c>
      <c r="E36" s="2" t="s">
        <v>20</v>
      </c>
      <c r="F36" s="2" t="s">
        <v>154</v>
      </c>
      <c r="G36" s="2" t="s">
        <v>155</v>
      </c>
      <c r="H36" s="2" t="s">
        <v>22</v>
      </c>
      <c r="I36" s="2" t="s">
        <v>156</v>
      </c>
      <c r="J36" s="2"/>
      <c r="K36" s="2"/>
      <c r="L36" t="s">
        <v>23</v>
      </c>
      <c r="M36" t="s">
        <v>24</v>
      </c>
      <c r="N36" t="s">
        <v>49</v>
      </c>
      <c r="P36" s="11" t="s">
        <v>155</v>
      </c>
      <c r="Q36" s="12" t="s">
        <v>152</v>
      </c>
      <c r="R36" s="12" t="s">
        <v>152</v>
      </c>
      <c r="S36" s="12" t="b">
        <v>1</v>
      </c>
      <c r="T36" s="12">
        <v>0.79649999999999999</v>
      </c>
      <c r="U36" s="12">
        <v>44.445999999999998</v>
      </c>
      <c r="V36" s="12" t="s">
        <v>911</v>
      </c>
      <c r="W36" s="12" t="b">
        <v>1</v>
      </c>
      <c r="X36" s="12">
        <v>1</v>
      </c>
      <c r="Y36" s="13" t="b">
        <v>1</v>
      </c>
    </row>
    <row r="37" spans="1:25">
      <c r="A37" s="2" t="s">
        <v>157</v>
      </c>
      <c r="B37" s="2" t="s">
        <v>158</v>
      </c>
      <c r="C37" s="2" t="s">
        <v>159</v>
      </c>
      <c r="D37" s="2" t="s">
        <v>19</v>
      </c>
      <c r="E37" s="2" t="s">
        <v>20</v>
      </c>
      <c r="F37" s="2" t="s">
        <v>157</v>
      </c>
      <c r="G37" s="2" t="s">
        <v>160</v>
      </c>
      <c r="H37" s="2" t="s">
        <v>22</v>
      </c>
      <c r="I37" s="2" t="s">
        <v>161</v>
      </c>
      <c r="J37" s="2"/>
      <c r="K37" s="2"/>
      <c r="L37" t="s">
        <v>23</v>
      </c>
      <c r="M37" t="s">
        <v>24</v>
      </c>
      <c r="N37" t="s">
        <v>25</v>
      </c>
      <c r="P37" s="11" t="s">
        <v>160</v>
      </c>
      <c r="Q37" s="12" t="s">
        <v>158</v>
      </c>
      <c r="R37" s="12" t="s">
        <v>158</v>
      </c>
      <c r="S37" s="12" t="b">
        <v>1</v>
      </c>
      <c r="T37" s="12">
        <v>0.9788</v>
      </c>
      <c r="U37" s="12">
        <v>144.9101</v>
      </c>
      <c r="V37" s="12" t="s">
        <v>912</v>
      </c>
      <c r="W37" s="12" t="b">
        <v>1</v>
      </c>
      <c r="X37" s="12">
        <v>1</v>
      </c>
      <c r="Y37" s="13" t="b">
        <v>1</v>
      </c>
    </row>
    <row r="38" spans="1:25">
      <c r="A38" s="2" t="s">
        <v>162</v>
      </c>
      <c r="B38" s="2" t="s">
        <v>163</v>
      </c>
      <c r="C38" s="2" t="s">
        <v>164</v>
      </c>
      <c r="D38" s="2" t="s">
        <v>19</v>
      </c>
      <c r="E38" s="2" t="s">
        <v>20</v>
      </c>
      <c r="F38" s="2" t="s">
        <v>165</v>
      </c>
      <c r="G38" s="2" t="s">
        <v>166</v>
      </c>
      <c r="H38" s="2" t="s">
        <v>22</v>
      </c>
      <c r="I38" s="2" t="s">
        <v>167</v>
      </c>
      <c r="J38" s="2"/>
      <c r="K38" s="2"/>
      <c r="L38" t="s">
        <v>23</v>
      </c>
      <c r="M38" t="s">
        <v>24</v>
      </c>
      <c r="N38" t="s">
        <v>49</v>
      </c>
      <c r="P38" s="11" t="s">
        <v>166</v>
      </c>
      <c r="Q38" s="12" t="s">
        <v>163</v>
      </c>
      <c r="R38" s="12" t="s">
        <v>168</v>
      </c>
      <c r="S38" s="12" t="b">
        <v>0</v>
      </c>
      <c r="T38" s="12">
        <v>1.0967</v>
      </c>
      <c r="U38" s="12">
        <v>309.4221</v>
      </c>
      <c r="V38" s="12" t="s">
        <v>913</v>
      </c>
      <c r="W38" s="12" t="b">
        <v>0</v>
      </c>
      <c r="X38" s="12"/>
      <c r="Y38" s="13" t="b">
        <v>1</v>
      </c>
    </row>
    <row r="39" spans="1:25">
      <c r="A39" s="2" t="s">
        <v>165</v>
      </c>
      <c r="B39" s="2" t="s">
        <v>168</v>
      </c>
      <c r="C39" s="2" t="s">
        <v>169</v>
      </c>
      <c r="D39" s="2" t="s">
        <v>19</v>
      </c>
      <c r="E39" s="2" t="s">
        <v>20</v>
      </c>
      <c r="F39" s="2" t="s">
        <v>165</v>
      </c>
      <c r="G39" s="2" t="s">
        <v>170</v>
      </c>
      <c r="H39" s="2" t="s">
        <v>22</v>
      </c>
      <c r="I39" s="2" t="s">
        <v>171</v>
      </c>
      <c r="J39" s="2"/>
      <c r="K39" s="2"/>
      <c r="L39" t="s">
        <v>23</v>
      </c>
      <c r="M39" t="s">
        <v>24</v>
      </c>
      <c r="N39" t="s">
        <v>31</v>
      </c>
      <c r="P39" s="11" t="s">
        <v>170</v>
      </c>
      <c r="Q39" s="12" t="s">
        <v>168</v>
      </c>
      <c r="R39" s="12" t="s">
        <v>168</v>
      </c>
      <c r="S39" s="12" t="b">
        <v>1</v>
      </c>
      <c r="T39" s="12">
        <v>1.0967</v>
      </c>
      <c r="U39" s="12">
        <v>309.4221</v>
      </c>
      <c r="V39" s="12" t="s">
        <v>913</v>
      </c>
      <c r="W39" s="12" t="b">
        <v>1</v>
      </c>
      <c r="X39" s="12">
        <v>1</v>
      </c>
      <c r="Y39" s="13" t="b">
        <v>1</v>
      </c>
    </row>
    <row r="40" spans="1:25">
      <c r="A40" s="2" t="s">
        <v>172</v>
      </c>
      <c r="B40" s="2" t="s">
        <v>173</v>
      </c>
      <c r="C40" s="2" t="s">
        <v>174</v>
      </c>
      <c r="D40" s="2" t="s">
        <v>19</v>
      </c>
      <c r="E40" s="2" t="s">
        <v>20</v>
      </c>
      <c r="F40" s="2" t="s">
        <v>175</v>
      </c>
      <c r="G40" s="2" t="s">
        <v>176</v>
      </c>
      <c r="H40" s="2"/>
      <c r="I40" s="2"/>
      <c r="J40" s="2"/>
      <c r="K40" s="2"/>
      <c r="L40" t="s">
        <v>23</v>
      </c>
      <c r="M40" t="s">
        <v>24</v>
      </c>
      <c r="N40" t="s">
        <v>49</v>
      </c>
      <c r="P40" s="11" t="s">
        <v>176</v>
      </c>
      <c r="Q40" s="12" t="s">
        <v>173</v>
      </c>
      <c r="R40" s="12"/>
      <c r="S40" s="12" t="b">
        <v>0</v>
      </c>
      <c r="T40" s="12">
        <v>0.98719999999999997</v>
      </c>
      <c r="U40" s="12">
        <v>80.196700000000007</v>
      </c>
      <c r="V40" s="12" t="s">
        <v>914</v>
      </c>
      <c r="W40" s="12" t="b">
        <v>1</v>
      </c>
      <c r="X40" s="12">
        <v>11</v>
      </c>
      <c r="Y40" s="13" t="b">
        <v>1</v>
      </c>
    </row>
    <row r="41" spans="1:25">
      <c r="A41" t="s">
        <v>16</v>
      </c>
      <c r="B41" t="s">
        <v>17</v>
      </c>
      <c r="C41" t="s">
        <v>177</v>
      </c>
      <c r="D41" t="s">
        <v>44</v>
      </c>
      <c r="E41" t="s">
        <v>20</v>
      </c>
      <c r="F41" t="s">
        <v>178</v>
      </c>
      <c r="H41" t="s">
        <v>179</v>
      </c>
      <c r="J41">
        <v>15670</v>
      </c>
      <c r="L41" t="s">
        <v>180</v>
      </c>
      <c r="M41" t="s">
        <v>24</v>
      </c>
      <c r="N41" t="s">
        <v>49</v>
      </c>
      <c r="P41" s="11" t="s">
        <v>481</v>
      </c>
      <c r="Q41" s="12" t="s">
        <v>17</v>
      </c>
      <c r="R41" s="12"/>
      <c r="S41" s="12" t="b">
        <v>0</v>
      </c>
      <c r="T41" s="12">
        <v>0.98719999999999997</v>
      </c>
      <c r="U41" s="12">
        <v>80.196700000000007</v>
      </c>
      <c r="V41" s="12" t="s">
        <v>915</v>
      </c>
      <c r="W41" s="12" t="b">
        <v>0</v>
      </c>
      <c r="X41" s="12"/>
      <c r="Y41" s="13" t="b">
        <v>1</v>
      </c>
    </row>
    <row r="42" spans="1:25">
      <c r="A42" t="s">
        <v>26</v>
      </c>
      <c r="B42" t="s">
        <v>27</v>
      </c>
      <c r="C42" t="s">
        <v>181</v>
      </c>
      <c r="D42" t="s">
        <v>127</v>
      </c>
      <c r="E42" t="s">
        <v>127</v>
      </c>
      <c r="F42" t="s">
        <v>182</v>
      </c>
      <c r="H42" t="s">
        <v>183</v>
      </c>
      <c r="J42">
        <v>12867</v>
      </c>
      <c r="L42" t="s">
        <v>180</v>
      </c>
      <c r="M42" t="s">
        <v>24</v>
      </c>
      <c r="N42" t="s">
        <v>31</v>
      </c>
      <c r="P42" s="11" t="s">
        <v>483</v>
      </c>
      <c r="Q42" s="12" t="s">
        <v>27</v>
      </c>
      <c r="R42" s="12" t="s">
        <v>27</v>
      </c>
      <c r="S42" s="12" t="b">
        <v>1</v>
      </c>
      <c r="T42" s="12">
        <v>1.1216999999999999</v>
      </c>
      <c r="U42" s="12">
        <v>363.20280000000002</v>
      </c>
      <c r="V42" s="12" t="s">
        <v>916</v>
      </c>
      <c r="W42" s="12" t="b">
        <v>1</v>
      </c>
      <c r="X42" s="12">
        <v>1</v>
      </c>
      <c r="Y42" s="13" t="b">
        <v>1</v>
      </c>
    </row>
    <row r="43" spans="1:25">
      <c r="A43" t="s">
        <v>184</v>
      </c>
      <c r="B43" t="s">
        <v>185</v>
      </c>
      <c r="C43" t="s">
        <v>186</v>
      </c>
      <c r="D43" t="s">
        <v>19</v>
      </c>
      <c r="E43" t="s">
        <v>20</v>
      </c>
      <c r="F43" t="s">
        <v>187</v>
      </c>
      <c r="H43" t="s">
        <v>188</v>
      </c>
      <c r="J43">
        <v>15010</v>
      </c>
      <c r="L43" t="s">
        <v>180</v>
      </c>
      <c r="M43" t="s">
        <v>24</v>
      </c>
      <c r="N43" t="s">
        <v>25</v>
      </c>
      <c r="P43" s="11" t="s">
        <v>485</v>
      </c>
      <c r="Q43" s="12" t="s">
        <v>185</v>
      </c>
      <c r="R43" s="12" t="s">
        <v>185</v>
      </c>
      <c r="S43" s="12" t="b">
        <v>1</v>
      </c>
      <c r="T43" s="12">
        <v>0.97789999999999999</v>
      </c>
      <c r="U43" s="12">
        <v>144.0616</v>
      </c>
      <c r="V43" s="12" t="s">
        <v>917</v>
      </c>
      <c r="W43" s="12" t="b">
        <v>1</v>
      </c>
      <c r="X43" s="12">
        <v>1</v>
      </c>
      <c r="Y43" s="13" t="b">
        <v>1</v>
      </c>
    </row>
    <row r="44" spans="1:25">
      <c r="A44" t="s">
        <v>53</v>
      </c>
      <c r="B44" t="s">
        <v>54</v>
      </c>
      <c r="C44" t="s">
        <v>55</v>
      </c>
      <c r="D44" t="s">
        <v>19</v>
      </c>
      <c r="E44" t="s">
        <v>20</v>
      </c>
      <c r="F44" t="s">
        <v>53</v>
      </c>
      <c r="H44" t="s">
        <v>189</v>
      </c>
      <c r="J44">
        <v>5628</v>
      </c>
      <c r="L44" t="s">
        <v>180</v>
      </c>
      <c r="M44" t="s">
        <v>24</v>
      </c>
      <c r="N44" t="s">
        <v>25</v>
      </c>
      <c r="P44" s="11" t="s">
        <v>488</v>
      </c>
      <c r="Q44" s="12" t="s">
        <v>54</v>
      </c>
      <c r="R44" s="12" t="s">
        <v>54</v>
      </c>
      <c r="S44" s="12" t="b">
        <v>1</v>
      </c>
      <c r="T44" s="12">
        <v>1.0276000000000001</v>
      </c>
      <c r="U44" s="12">
        <v>198.38650000000001</v>
      </c>
      <c r="V44" s="12" t="s">
        <v>891</v>
      </c>
      <c r="W44" s="12" t="b">
        <v>1</v>
      </c>
      <c r="X44" s="12">
        <v>1</v>
      </c>
      <c r="Y44" s="13" t="b">
        <v>1</v>
      </c>
    </row>
    <row r="45" spans="1:25">
      <c r="A45" t="s">
        <v>190</v>
      </c>
      <c r="B45" t="s">
        <v>191</v>
      </c>
      <c r="C45" t="s">
        <v>192</v>
      </c>
      <c r="D45" t="s">
        <v>19</v>
      </c>
      <c r="E45" t="s">
        <v>20</v>
      </c>
      <c r="F45" t="s">
        <v>193</v>
      </c>
      <c r="H45" t="s">
        <v>22</v>
      </c>
      <c r="J45">
        <v>3130</v>
      </c>
      <c r="L45" t="s">
        <v>180</v>
      </c>
      <c r="M45" t="s">
        <v>24</v>
      </c>
      <c r="N45" t="s">
        <v>25</v>
      </c>
      <c r="P45" s="11" t="s">
        <v>489</v>
      </c>
      <c r="Q45" s="12" t="s">
        <v>191</v>
      </c>
      <c r="R45" s="12" t="s">
        <v>191</v>
      </c>
      <c r="S45" s="12" t="b">
        <v>1</v>
      </c>
      <c r="T45" s="12">
        <v>1.0833999999999999</v>
      </c>
      <c r="U45" s="12">
        <v>284.04469999999998</v>
      </c>
      <c r="V45" s="12" t="s">
        <v>918</v>
      </c>
      <c r="W45" s="12" t="b">
        <v>1</v>
      </c>
      <c r="X45" s="12">
        <v>1</v>
      </c>
      <c r="Y45" s="13" t="b">
        <v>1</v>
      </c>
    </row>
    <row r="46" spans="1:25">
      <c r="A46" t="s">
        <v>68</v>
      </c>
      <c r="B46" t="s">
        <v>69</v>
      </c>
      <c r="C46" t="s">
        <v>70</v>
      </c>
      <c r="D46" t="s">
        <v>19</v>
      </c>
      <c r="E46" t="s">
        <v>20</v>
      </c>
      <c r="F46" t="s">
        <v>194</v>
      </c>
      <c r="H46" t="s">
        <v>189</v>
      </c>
      <c r="J46">
        <v>3155</v>
      </c>
      <c r="L46" t="s">
        <v>180</v>
      </c>
      <c r="M46" t="s">
        <v>24</v>
      </c>
      <c r="N46" t="s">
        <v>31</v>
      </c>
      <c r="P46" s="11" t="s">
        <v>491</v>
      </c>
      <c r="Q46" s="12" t="s">
        <v>69</v>
      </c>
      <c r="R46" s="12" t="s">
        <v>69</v>
      </c>
      <c r="S46" s="12" t="b">
        <v>1</v>
      </c>
      <c r="T46" s="12">
        <v>1.0267999999999999</v>
      </c>
      <c r="U46" s="12">
        <v>197.47219999999999</v>
      </c>
      <c r="V46" s="12" t="s">
        <v>919</v>
      </c>
      <c r="W46" s="12" t="b">
        <v>1</v>
      </c>
      <c r="X46" s="12">
        <v>1</v>
      </c>
      <c r="Y46" s="13" t="b">
        <v>1</v>
      </c>
    </row>
    <row r="47" spans="1:25">
      <c r="A47" t="s">
        <v>195</v>
      </c>
      <c r="B47" t="s">
        <v>196</v>
      </c>
      <c r="C47" t="s">
        <v>197</v>
      </c>
      <c r="D47" t="s">
        <v>19</v>
      </c>
      <c r="E47" t="s">
        <v>20</v>
      </c>
      <c r="F47" t="s">
        <v>198</v>
      </c>
      <c r="H47" t="s">
        <v>189</v>
      </c>
      <c r="J47">
        <v>3098</v>
      </c>
      <c r="L47" t="s">
        <v>180</v>
      </c>
      <c r="M47" t="s">
        <v>24</v>
      </c>
      <c r="N47" t="s">
        <v>25</v>
      </c>
      <c r="P47" s="11" t="s">
        <v>493</v>
      </c>
      <c r="Q47" s="12" t="s">
        <v>196</v>
      </c>
      <c r="R47" s="12" t="s">
        <v>196</v>
      </c>
      <c r="S47" s="12" t="b">
        <v>1</v>
      </c>
      <c r="T47" s="12">
        <v>0.99809999999999999</v>
      </c>
      <c r="U47" s="12">
        <v>164.1567</v>
      </c>
      <c r="V47" s="12" t="s">
        <v>920</v>
      </c>
      <c r="W47" s="12" t="b">
        <v>1</v>
      </c>
      <c r="X47" s="12">
        <v>1</v>
      </c>
      <c r="Y47" s="13" t="b">
        <v>1</v>
      </c>
    </row>
    <row r="48" spans="1:25">
      <c r="A48" t="s">
        <v>199</v>
      </c>
      <c r="B48" t="s">
        <v>200</v>
      </c>
      <c r="C48" t="s">
        <v>201</v>
      </c>
      <c r="D48" t="s">
        <v>19</v>
      </c>
      <c r="E48" t="s">
        <v>20</v>
      </c>
      <c r="F48" t="s">
        <v>202</v>
      </c>
      <c r="H48" t="s">
        <v>203</v>
      </c>
      <c r="J48">
        <v>3240</v>
      </c>
      <c r="L48" t="s">
        <v>180</v>
      </c>
      <c r="M48" t="s">
        <v>24</v>
      </c>
      <c r="N48" t="s">
        <v>25</v>
      </c>
      <c r="P48" s="11" t="s">
        <v>495</v>
      </c>
      <c r="Q48" s="12" t="s">
        <v>200</v>
      </c>
      <c r="R48" s="12" t="s">
        <v>200</v>
      </c>
      <c r="S48" s="12" t="b">
        <v>1</v>
      </c>
      <c r="T48" s="12">
        <v>0.91600000000000004</v>
      </c>
      <c r="U48" s="12">
        <v>96.635199999999998</v>
      </c>
      <c r="V48" s="12" t="s">
        <v>921</v>
      </c>
      <c r="W48" s="12" t="b">
        <v>1</v>
      </c>
      <c r="X48" s="12">
        <v>1</v>
      </c>
      <c r="Y48" s="13" t="b">
        <v>1</v>
      </c>
    </row>
    <row r="49" spans="1:25">
      <c r="A49" t="s">
        <v>204</v>
      </c>
      <c r="B49" t="s">
        <v>205</v>
      </c>
      <c r="C49" t="s">
        <v>206</v>
      </c>
      <c r="D49" t="s">
        <v>19</v>
      </c>
      <c r="E49" t="s">
        <v>20</v>
      </c>
      <c r="F49" t="s">
        <v>207</v>
      </c>
      <c r="H49" t="s">
        <v>208</v>
      </c>
      <c r="J49">
        <v>10566</v>
      </c>
      <c r="L49" t="s">
        <v>180</v>
      </c>
      <c r="M49" t="s">
        <v>24</v>
      </c>
      <c r="N49" t="s">
        <v>31</v>
      </c>
      <c r="P49" s="11" t="s">
        <v>497</v>
      </c>
      <c r="Q49" s="12" t="s">
        <v>205</v>
      </c>
      <c r="R49" s="12" t="s">
        <v>205</v>
      </c>
      <c r="S49" s="12" t="b">
        <v>1</v>
      </c>
      <c r="T49" s="12">
        <v>1.0932999999999999</v>
      </c>
      <c r="U49" s="12">
        <v>302.73450000000003</v>
      </c>
      <c r="V49" s="12" t="s">
        <v>922</v>
      </c>
      <c r="W49" s="12" t="b">
        <v>1</v>
      </c>
      <c r="X49" s="12">
        <v>1</v>
      </c>
      <c r="Y49" s="13" t="b">
        <v>1</v>
      </c>
    </row>
    <row r="50" spans="1:25">
      <c r="A50" t="s">
        <v>209</v>
      </c>
      <c r="B50" t="s">
        <v>210</v>
      </c>
      <c r="C50" t="s">
        <v>211</v>
      </c>
      <c r="D50" t="s">
        <v>19</v>
      </c>
      <c r="E50" t="s">
        <v>20</v>
      </c>
      <c r="F50" t="s">
        <v>212</v>
      </c>
      <c r="H50" t="s">
        <v>189</v>
      </c>
      <c r="J50">
        <v>9059</v>
      </c>
      <c r="L50" t="s">
        <v>180</v>
      </c>
      <c r="M50" t="s">
        <v>24</v>
      </c>
      <c r="N50" t="s">
        <v>25</v>
      </c>
      <c r="P50" s="11" t="s">
        <v>499</v>
      </c>
      <c r="Q50" s="12" t="s">
        <v>210</v>
      </c>
      <c r="R50" s="12" t="s">
        <v>210</v>
      </c>
      <c r="S50" s="12" t="b">
        <v>1</v>
      </c>
      <c r="T50" s="12">
        <v>0.99170000000000003</v>
      </c>
      <c r="U50" s="12">
        <v>157.4572</v>
      </c>
      <c r="V50" s="12" t="s">
        <v>923</v>
      </c>
      <c r="W50" s="12" t="b">
        <v>1</v>
      </c>
      <c r="X50" s="12">
        <v>1</v>
      </c>
      <c r="Y50" s="13" t="b">
        <v>1</v>
      </c>
    </row>
    <row r="51" spans="1:25">
      <c r="A51" t="s">
        <v>213</v>
      </c>
      <c r="B51" t="s">
        <v>214</v>
      </c>
      <c r="C51" t="s">
        <v>215</v>
      </c>
      <c r="D51" t="s">
        <v>44</v>
      </c>
      <c r="E51" t="s">
        <v>20</v>
      </c>
      <c r="F51" t="s">
        <v>216</v>
      </c>
      <c r="H51" t="s">
        <v>217</v>
      </c>
      <c r="J51">
        <v>10523</v>
      </c>
      <c r="L51" t="s">
        <v>180</v>
      </c>
      <c r="M51" t="s">
        <v>24</v>
      </c>
      <c r="N51" t="s">
        <v>49</v>
      </c>
      <c r="P51" s="11" t="s">
        <v>502</v>
      </c>
      <c r="Q51" s="12" t="s">
        <v>214</v>
      </c>
      <c r="R51" s="12"/>
      <c r="S51" s="12" t="b">
        <v>0</v>
      </c>
      <c r="T51" s="12">
        <v>0.98719999999999997</v>
      </c>
      <c r="U51" s="12">
        <v>80.196700000000007</v>
      </c>
      <c r="V51" s="12" t="s">
        <v>924</v>
      </c>
      <c r="W51" s="12" t="b">
        <v>0</v>
      </c>
      <c r="X51" s="12"/>
      <c r="Y51" s="13" t="b">
        <v>1</v>
      </c>
    </row>
    <row r="52" spans="1:25">
      <c r="A52" t="s">
        <v>213</v>
      </c>
      <c r="B52" t="s">
        <v>214</v>
      </c>
      <c r="C52" t="s">
        <v>218</v>
      </c>
      <c r="D52" t="s">
        <v>19</v>
      </c>
      <c r="E52" t="s">
        <v>20</v>
      </c>
      <c r="F52" t="s">
        <v>216</v>
      </c>
      <c r="H52" t="s">
        <v>219</v>
      </c>
      <c r="J52">
        <v>10521</v>
      </c>
      <c r="L52" t="s">
        <v>180</v>
      </c>
      <c r="M52" t="s">
        <v>24</v>
      </c>
      <c r="N52" t="s">
        <v>49</v>
      </c>
      <c r="P52" s="11" t="s">
        <v>504</v>
      </c>
      <c r="Q52" s="12" t="s">
        <v>214</v>
      </c>
      <c r="R52" s="12" t="s">
        <v>925</v>
      </c>
      <c r="S52" s="12" t="b">
        <v>0</v>
      </c>
      <c r="T52" s="12">
        <v>0.84260000000000002</v>
      </c>
      <c r="U52" s="12">
        <v>60.072000000000003</v>
      </c>
      <c r="V52" s="12" t="s">
        <v>926</v>
      </c>
      <c r="W52" s="12" t="b">
        <v>0</v>
      </c>
      <c r="X52" s="12"/>
      <c r="Y52" s="13" t="b">
        <v>1</v>
      </c>
    </row>
    <row r="53" spans="1:25">
      <c r="A53" t="s">
        <v>220</v>
      </c>
      <c r="B53" t="s">
        <v>221</v>
      </c>
      <c r="C53" t="s">
        <v>222</v>
      </c>
      <c r="D53" t="s">
        <v>19</v>
      </c>
      <c r="E53" t="s">
        <v>20</v>
      </c>
      <c r="F53" t="s">
        <v>223</v>
      </c>
      <c r="H53" t="s">
        <v>22</v>
      </c>
      <c r="J53">
        <v>9770</v>
      </c>
      <c r="L53" t="s">
        <v>180</v>
      </c>
      <c r="M53" t="s">
        <v>24</v>
      </c>
      <c r="N53" t="s">
        <v>49</v>
      </c>
      <c r="P53" s="11" t="s">
        <v>507</v>
      </c>
      <c r="Q53" s="12" t="s">
        <v>221</v>
      </c>
      <c r="R53" s="12" t="s">
        <v>221</v>
      </c>
      <c r="S53" s="12" t="b">
        <v>1</v>
      </c>
      <c r="T53" s="12">
        <v>1.0024999999999999</v>
      </c>
      <c r="U53" s="12">
        <v>168.82509999999999</v>
      </c>
      <c r="V53" s="12" t="s">
        <v>927</v>
      </c>
      <c r="W53" s="12" t="b">
        <v>1</v>
      </c>
      <c r="X53" s="12">
        <v>1</v>
      </c>
      <c r="Y53" s="13" t="b">
        <v>1</v>
      </c>
    </row>
    <row r="54" spans="1:25">
      <c r="A54" t="s">
        <v>224</v>
      </c>
      <c r="B54" t="s">
        <v>148</v>
      </c>
      <c r="C54" t="s">
        <v>149</v>
      </c>
      <c r="D54" t="s">
        <v>19</v>
      </c>
      <c r="E54" t="s">
        <v>20</v>
      </c>
      <c r="F54" t="s">
        <v>225</v>
      </c>
      <c r="H54" t="s">
        <v>226</v>
      </c>
      <c r="J54">
        <v>15418</v>
      </c>
      <c r="L54" t="s">
        <v>180</v>
      </c>
      <c r="M54" t="s">
        <v>24</v>
      </c>
      <c r="N54" t="s">
        <v>25</v>
      </c>
      <c r="P54" s="11" t="s">
        <v>510</v>
      </c>
      <c r="Q54" s="12" t="s">
        <v>148</v>
      </c>
      <c r="R54" s="12" t="s">
        <v>148</v>
      </c>
      <c r="S54" s="12" t="b">
        <v>1</v>
      </c>
      <c r="T54" s="12">
        <v>0.98609999999999998</v>
      </c>
      <c r="U54" s="12">
        <v>151.88040000000001</v>
      </c>
      <c r="V54" s="12" t="s">
        <v>928</v>
      </c>
      <c r="W54" s="12" t="b">
        <v>1</v>
      </c>
      <c r="X54" s="12">
        <v>1</v>
      </c>
      <c r="Y54" s="13" t="b">
        <v>1</v>
      </c>
    </row>
    <row r="55" spans="1:25">
      <c r="A55" t="s">
        <v>227</v>
      </c>
      <c r="B55" t="s">
        <v>158</v>
      </c>
      <c r="C55" t="s">
        <v>159</v>
      </c>
      <c r="D55" t="s">
        <v>19</v>
      </c>
      <c r="E55" t="s">
        <v>20</v>
      </c>
      <c r="F55" t="s">
        <v>228</v>
      </c>
      <c r="H55" t="s">
        <v>229</v>
      </c>
      <c r="J55">
        <v>12829</v>
      </c>
      <c r="L55" t="s">
        <v>180</v>
      </c>
      <c r="M55" t="s">
        <v>24</v>
      </c>
      <c r="N55" t="s">
        <v>49</v>
      </c>
      <c r="P55" s="11" t="s">
        <v>512</v>
      </c>
      <c r="Q55" s="12" t="s">
        <v>158</v>
      </c>
      <c r="R55" s="12"/>
      <c r="S55" s="12" t="b">
        <v>0</v>
      </c>
      <c r="T55" s="12">
        <v>1.0158</v>
      </c>
      <c r="U55" s="12">
        <v>96.525199999999998</v>
      </c>
      <c r="V55" s="24" t="s">
        <v>929</v>
      </c>
      <c r="W55" s="12" t="b">
        <v>1</v>
      </c>
      <c r="X55" s="12">
        <v>14</v>
      </c>
      <c r="Y55" s="13" t="b">
        <v>1</v>
      </c>
    </row>
    <row r="56" spans="1:25">
      <c r="A56" t="s">
        <v>230</v>
      </c>
      <c r="B56" t="s">
        <v>231</v>
      </c>
      <c r="C56" t="s">
        <v>232</v>
      </c>
      <c r="D56" t="s">
        <v>127</v>
      </c>
      <c r="E56" t="s">
        <v>127</v>
      </c>
      <c r="F56" t="s">
        <v>233</v>
      </c>
      <c r="H56" t="s">
        <v>234</v>
      </c>
      <c r="J56">
        <v>23253</v>
      </c>
      <c r="L56" t="s">
        <v>180</v>
      </c>
      <c r="M56" t="s">
        <v>24</v>
      </c>
      <c r="N56" t="s">
        <v>49</v>
      </c>
      <c r="P56" s="11" t="s">
        <v>515</v>
      </c>
      <c r="Q56" s="12" t="s">
        <v>231</v>
      </c>
      <c r="R56" s="12" t="s">
        <v>233</v>
      </c>
      <c r="S56" s="12" t="b">
        <v>0</v>
      </c>
      <c r="T56" s="12">
        <v>1.0969</v>
      </c>
      <c r="U56" s="12">
        <v>309.6635</v>
      </c>
      <c r="V56" s="12" t="s">
        <v>930</v>
      </c>
      <c r="W56" s="12" t="b">
        <v>0</v>
      </c>
      <c r="X56" s="12"/>
      <c r="Y56" s="13" t="b">
        <v>1</v>
      </c>
    </row>
    <row r="57" spans="1:25">
      <c r="A57" t="s">
        <v>235</v>
      </c>
      <c r="B57" t="s">
        <v>236</v>
      </c>
      <c r="C57" t="s">
        <v>237</v>
      </c>
      <c r="D57" t="s">
        <v>19</v>
      </c>
      <c r="E57" t="s">
        <v>20</v>
      </c>
      <c r="F57" t="s">
        <v>238</v>
      </c>
      <c r="H57" t="s">
        <v>239</v>
      </c>
      <c r="J57">
        <v>13567</v>
      </c>
      <c r="L57" t="s">
        <v>180</v>
      </c>
      <c r="M57" t="s">
        <v>24</v>
      </c>
      <c r="N57" t="s">
        <v>49</v>
      </c>
      <c r="P57" s="11" t="s">
        <v>518</v>
      </c>
      <c r="Q57" s="12" t="s">
        <v>236</v>
      </c>
      <c r="R57" s="12" t="s">
        <v>125</v>
      </c>
      <c r="S57" s="12" t="b">
        <v>0</v>
      </c>
      <c r="T57" s="12">
        <v>0.80210000000000004</v>
      </c>
      <c r="U57" s="12">
        <v>46.105699999999999</v>
      </c>
      <c r="V57" s="12" t="s">
        <v>931</v>
      </c>
      <c r="W57" s="12" t="b">
        <v>1</v>
      </c>
      <c r="X57" s="12">
        <v>14</v>
      </c>
      <c r="Y57" s="13" t="b">
        <v>1</v>
      </c>
    </row>
    <row r="58" spans="1:25">
      <c r="A58" t="s">
        <v>240</v>
      </c>
      <c r="B58" t="s">
        <v>241</v>
      </c>
      <c r="C58" t="s">
        <v>242</v>
      </c>
      <c r="D58" t="s">
        <v>19</v>
      </c>
      <c r="E58" t="s">
        <v>20</v>
      </c>
      <c r="F58" t="s">
        <v>243</v>
      </c>
      <c r="H58" t="s">
        <v>244</v>
      </c>
      <c r="J58">
        <v>11807</v>
      </c>
      <c r="L58" t="s">
        <v>180</v>
      </c>
      <c r="M58" t="s">
        <v>24</v>
      </c>
      <c r="N58" t="s">
        <v>31</v>
      </c>
      <c r="P58" s="11" t="s">
        <v>521</v>
      </c>
      <c r="Q58" s="12" t="s">
        <v>241</v>
      </c>
      <c r="R58" s="12" t="s">
        <v>241</v>
      </c>
      <c r="S58" s="12" t="b">
        <v>1</v>
      </c>
      <c r="T58" s="12">
        <v>0.98609999999999998</v>
      </c>
      <c r="U58" s="12">
        <v>151.96940000000001</v>
      </c>
      <c r="V58" s="12" t="s">
        <v>932</v>
      </c>
      <c r="W58" s="12" t="b">
        <v>1</v>
      </c>
      <c r="X58" s="12">
        <v>1</v>
      </c>
      <c r="Y58" s="13" t="b">
        <v>1</v>
      </c>
    </row>
    <row r="59" spans="1:25">
      <c r="A59" t="s">
        <v>245</v>
      </c>
      <c r="B59" t="s">
        <v>246</v>
      </c>
      <c r="C59" t="s">
        <v>247</v>
      </c>
      <c r="D59" t="s">
        <v>19</v>
      </c>
      <c r="E59" t="s">
        <v>20</v>
      </c>
      <c r="F59" t="s">
        <v>248</v>
      </c>
      <c r="H59" t="s">
        <v>249</v>
      </c>
      <c r="J59">
        <v>14568</v>
      </c>
      <c r="L59" t="s">
        <v>180</v>
      </c>
      <c r="M59" t="s">
        <v>24</v>
      </c>
      <c r="N59" t="s">
        <v>31</v>
      </c>
      <c r="P59" s="11" t="s">
        <v>523</v>
      </c>
      <c r="Q59" s="12" t="s">
        <v>246</v>
      </c>
      <c r="R59" s="12" t="s">
        <v>246</v>
      </c>
      <c r="S59" s="12" t="b">
        <v>1</v>
      </c>
      <c r="T59" s="12">
        <v>1.0955999999999999</v>
      </c>
      <c r="U59" s="12">
        <v>307.21980000000002</v>
      </c>
      <c r="V59" s="12" t="s">
        <v>933</v>
      </c>
      <c r="W59" s="12" t="b">
        <v>1</v>
      </c>
      <c r="X59" s="12">
        <v>1</v>
      </c>
      <c r="Y59" s="13" t="b">
        <v>1</v>
      </c>
    </row>
    <row r="60" spans="1:25">
      <c r="A60" t="s">
        <v>184</v>
      </c>
      <c r="B60" t="s">
        <v>185</v>
      </c>
      <c r="C60" t="s">
        <v>186</v>
      </c>
      <c r="D60" t="s">
        <v>19</v>
      </c>
      <c r="E60" t="s">
        <v>20</v>
      </c>
      <c r="F60" t="s">
        <v>184</v>
      </c>
      <c r="H60" t="s">
        <v>250</v>
      </c>
      <c r="K60" t="s">
        <v>251</v>
      </c>
      <c r="L60" t="s">
        <v>252</v>
      </c>
      <c r="M60" t="s">
        <v>24</v>
      </c>
      <c r="N60" t="s">
        <v>25</v>
      </c>
      <c r="P60" s="11" t="s">
        <v>526</v>
      </c>
      <c r="Q60" s="12" t="s">
        <v>185</v>
      </c>
      <c r="R60" s="12" t="s">
        <v>185</v>
      </c>
      <c r="S60" s="12" t="b">
        <v>1</v>
      </c>
      <c r="T60" s="12">
        <v>0.97789999999999999</v>
      </c>
      <c r="U60" s="12">
        <v>144.0616</v>
      </c>
      <c r="V60" s="12" t="s">
        <v>934</v>
      </c>
      <c r="W60" s="12" t="b">
        <v>1</v>
      </c>
      <c r="X60" s="12">
        <v>1</v>
      </c>
      <c r="Y60" s="13" t="b">
        <v>1</v>
      </c>
    </row>
    <row r="61" spans="1:25">
      <c r="A61" t="s">
        <v>253</v>
      </c>
      <c r="B61" t="s">
        <v>214</v>
      </c>
      <c r="C61" t="s">
        <v>254</v>
      </c>
      <c r="D61" t="s">
        <v>127</v>
      </c>
      <c r="E61" t="s">
        <v>127</v>
      </c>
      <c r="F61" t="s">
        <v>253</v>
      </c>
      <c r="H61" t="s">
        <v>127</v>
      </c>
      <c r="K61">
        <v>1680</v>
      </c>
      <c r="L61" t="s">
        <v>252</v>
      </c>
      <c r="M61" t="s">
        <v>24</v>
      </c>
      <c r="N61" t="s">
        <v>31</v>
      </c>
      <c r="P61" s="11" t="s">
        <v>528</v>
      </c>
      <c r="Q61" s="12" t="s">
        <v>214</v>
      </c>
      <c r="R61" s="12" t="s">
        <v>214</v>
      </c>
      <c r="S61" s="12" t="b">
        <v>1</v>
      </c>
      <c r="T61" s="12">
        <v>1.1619999999999999</v>
      </c>
      <c r="U61" s="12">
        <v>470.34100000000001</v>
      </c>
      <c r="V61" s="12" t="s">
        <v>935</v>
      </c>
      <c r="W61" s="12" t="b">
        <v>1</v>
      </c>
      <c r="X61" s="12">
        <v>1</v>
      </c>
      <c r="Y61" s="13" t="b">
        <v>1</v>
      </c>
    </row>
    <row r="62" spans="1:25">
      <c r="A62" t="s">
        <v>255</v>
      </c>
      <c r="B62" t="s">
        <v>256</v>
      </c>
      <c r="C62" t="s">
        <v>257</v>
      </c>
      <c r="D62" t="s">
        <v>79</v>
      </c>
      <c r="E62" t="s">
        <v>20</v>
      </c>
      <c r="F62" t="s">
        <v>258</v>
      </c>
      <c r="H62" t="s">
        <v>259</v>
      </c>
      <c r="K62" t="s">
        <v>260</v>
      </c>
      <c r="L62" t="s">
        <v>252</v>
      </c>
      <c r="M62" t="s">
        <v>24</v>
      </c>
      <c r="N62" t="s">
        <v>31</v>
      </c>
      <c r="P62" s="11" t="s">
        <v>530</v>
      </c>
      <c r="Q62" s="12" t="s">
        <v>256</v>
      </c>
      <c r="R62" s="12" t="s">
        <v>256</v>
      </c>
      <c r="S62" s="12" t="b">
        <v>1</v>
      </c>
      <c r="T62" s="12">
        <v>1.0557000000000001</v>
      </c>
      <c r="U62" s="12">
        <v>237.72620000000001</v>
      </c>
      <c r="V62" s="12" t="s">
        <v>936</v>
      </c>
      <c r="W62" s="12" t="b">
        <v>1</v>
      </c>
      <c r="X62" s="12">
        <v>1</v>
      </c>
      <c r="Y62" s="13" t="b">
        <v>1</v>
      </c>
    </row>
    <row r="63" spans="1:25">
      <c r="A63" t="s">
        <v>261</v>
      </c>
      <c r="B63" t="s">
        <v>262</v>
      </c>
      <c r="C63" t="s">
        <v>263</v>
      </c>
      <c r="D63" t="s">
        <v>19</v>
      </c>
      <c r="E63" t="s">
        <v>20</v>
      </c>
      <c r="F63" t="s">
        <v>261</v>
      </c>
      <c r="H63" t="s">
        <v>189</v>
      </c>
      <c r="K63" t="s">
        <v>264</v>
      </c>
      <c r="L63" t="s">
        <v>252</v>
      </c>
      <c r="M63" t="s">
        <v>24</v>
      </c>
      <c r="N63" t="s">
        <v>31</v>
      </c>
      <c r="P63" s="11" t="s">
        <v>532</v>
      </c>
      <c r="Q63" s="12" t="s">
        <v>262</v>
      </c>
      <c r="R63" s="12" t="s">
        <v>262</v>
      </c>
      <c r="S63" s="12" t="b">
        <v>1</v>
      </c>
      <c r="T63" s="12">
        <v>1.1227</v>
      </c>
      <c r="U63" s="12">
        <v>365.39</v>
      </c>
      <c r="V63" s="12" t="s">
        <v>937</v>
      </c>
      <c r="W63" s="12" t="b">
        <v>1</v>
      </c>
      <c r="X63" s="12">
        <v>1</v>
      </c>
      <c r="Y63" s="13" t="b">
        <v>1</v>
      </c>
    </row>
    <row r="64" spans="1:25">
      <c r="A64" t="s">
        <v>265</v>
      </c>
      <c r="B64" t="s">
        <v>266</v>
      </c>
      <c r="C64" t="s">
        <v>267</v>
      </c>
      <c r="D64" t="s">
        <v>19</v>
      </c>
      <c r="E64" t="s">
        <v>20</v>
      </c>
      <c r="F64" t="s">
        <v>268</v>
      </c>
      <c r="H64" t="s">
        <v>269</v>
      </c>
      <c r="K64">
        <v>2207</v>
      </c>
      <c r="L64" t="s">
        <v>252</v>
      </c>
      <c r="M64" t="s">
        <v>24</v>
      </c>
      <c r="N64" t="s">
        <v>49</v>
      </c>
      <c r="P64" s="11" t="s">
        <v>534</v>
      </c>
      <c r="Q64" s="12" t="s">
        <v>266</v>
      </c>
      <c r="R64" s="12" t="s">
        <v>266</v>
      </c>
      <c r="S64" s="12" t="b">
        <v>1</v>
      </c>
      <c r="T64" s="12">
        <v>0.8851</v>
      </c>
      <c r="U64" s="12">
        <v>79.153000000000006</v>
      </c>
      <c r="V64" s="12" t="s">
        <v>938</v>
      </c>
      <c r="W64" s="12" t="b">
        <v>1</v>
      </c>
      <c r="X64" s="12">
        <v>1</v>
      </c>
      <c r="Y64" s="13" t="b">
        <v>1</v>
      </c>
    </row>
    <row r="65" spans="1:25">
      <c r="A65" t="s">
        <v>270</v>
      </c>
      <c r="B65" t="s">
        <v>271</v>
      </c>
      <c r="C65" s="3" t="s">
        <v>272</v>
      </c>
      <c r="D65" t="s">
        <v>79</v>
      </c>
      <c r="E65" t="s">
        <v>20</v>
      </c>
      <c r="F65" t="s">
        <v>273</v>
      </c>
      <c r="H65" t="s">
        <v>259</v>
      </c>
      <c r="K65">
        <v>1915</v>
      </c>
      <c r="L65" t="s">
        <v>252</v>
      </c>
      <c r="M65" t="s">
        <v>24</v>
      </c>
      <c r="N65" t="s">
        <v>25</v>
      </c>
      <c r="P65" s="11" t="s">
        <v>536</v>
      </c>
      <c r="Q65" s="12" t="s">
        <v>271</v>
      </c>
      <c r="R65" s="12" t="s">
        <v>271</v>
      </c>
      <c r="S65" s="12" t="b">
        <v>1</v>
      </c>
      <c r="T65" s="12">
        <v>1.0216000000000001</v>
      </c>
      <c r="U65" s="12">
        <v>190.9264</v>
      </c>
      <c r="V65" s="12" t="s">
        <v>939</v>
      </c>
      <c r="W65" s="12" t="b">
        <v>1</v>
      </c>
      <c r="X65" s="12">
        <v>1</v>
      </c>
      <c r="Y65" s="13" t="b">
        <v>1</v>
      </c>
    </row>
    <row r="66" spans="1:25">
      <c r="A66" t="s">
        <v>274</v>
      </c>
      <c r="B66" t="s">
        <v>275</v>
      </c>
      <c r="C66" t="s">
        <v>276</v>
      </c>
      <c r="D66" t="s">
        <v>44</v>
      </c>
      <c r="E66" t="s">
        <v>20</v>
      </c>
      <c r="F66" t="s">
        <v>277</v>
      </c>
      <c r="H66" t="s">
        <v>278</v>
      </c>
      <c r="K66">
        <v>1926</v>
      </c>
      <c r="L66" t="s">
        <v>252</v>
      </c>
      <c r="M66" t="s">
        <v>24</v>
      </c>
      <c r="N66" t="s">
        <v>31</v>
      </c>
      <c r="P66" s="11" t="s">
        <v>538</v>
      </c>
      <c r="Q66" s="12" t="s">
        <v>275</v>
      </c>
      <c r="R66" s="12" t="s">
        <v>275</v>
      </c>
      <c r="S66" s="12" t="b">
        <v>1</v>
      </c>
      <c r="T66" s="12">
        <v>1.1432</v>
      </c>
      <c r="U66" s="12">
        <v>219.33920000000001</v>
      </c>
      <c r="V66" s="12" t="s">
        <v>940</v>
      </c>
      <c r="W66" s="12" t="b">
        <v>1</v>
      </c>
      <c r="X66" s="12">
        <v>1</v>
      </c>
      <c r="Y66" s="13" t="b">
        <v>1</v>
      </c>
    </row>
    <row r="67" spans="1:25">
      <c r="A67" t="s">
        <v>279</v>
      </c>
      <c r="B67" t="s">
        <v>280</v>
      </c>
      <c r="C67" t="s">
        <v>281</v>
      </c>
      <c r="D67" t="s">
        <v>79</v>
      </c>
      <c r="E67" t="s">
        <v>20</v>
      </c>
      <c r="F67" t="s">
        <v>282</v>
      </c>
      <c r="H67" t="s">
        <v>82</v>
      </c>
      <c r="K67" t="s">
        <v>283</v>
      </c>
      <c r="L67" t="s">
        <v>252</v>
      </c>
      <c r="M67" t="s">
        <v>24</v>
      </c>
      <c r="N67" t="s">
        <v>25</v>
      </c>
      <c r="P67" s="11" t="s">
        <v>540</v>
      </c>
      <c r="Q67" s="12" t="s">
        <v>280</v>
      </c>
      <c r="R67" s="12" t="s">
        <v>280</v>
      </c>
      <c r="S67" s="12" t="b">
        <v>1</v>
      </c>
      <c r="T67" s="12">
        <v>0.78200000000000003</v>
      </c>
      <c r="U67" s="12">
        <v>147.9427</v>
      </c>
      <c r="V67" s="12" t="s">
        <v>941</v>
      </c>
      <c r="W67" s="12" t="b">
        <v>1</v>
      </c>
      <c r="X67" s="12">
        <v>1</v>
      </c>
      <c r="Y67" s="13" t="b">
        <v>1</v>
      </c>
    </row>
    <row r="68" spans="1:25">
      <c r="A68" t="s">
        <v>284</v>
      </c>
      <c r="B68" t="s">
        <v>285</v>
      </c>
      <c r="C68" t="s">
        <v>286</v>
      </c>
      <c r="D68" t="s">
        <v>127</v>
      </c>
      <c r="E68" t="s">
        <v>127</v>
      </c>
      <c r="F68" t="s">
        <v>284</v>
      </c>
      <c r="H68" t="s">
        <v>127</v>
      </c>
      <c r="K68">
        <v>1766</v>
      </c>
      <c r="L68" t="s">
        <v>252</v>
      </c>
      <c r="M68" t="s">
        <v>24</v>
      </c>
      <c r="N68" t="s">
        <v>25</v>
      </c>
      <c r="P68" s="11" t="s">
        <v>543</v>
      </c>
      <c r="Q68" s="12" t="s">
        <v>285</v>
      </c>
      <c r="R68" s="12" t="s">
        <v>285</v>
      </c>
      <c r="S68" s="12" t="b">
        <v>1</v>
      </c>
      <c r="T68" s="12">
        <v>1.0066999999999999</v>
      </c>
      <c r="U68" s="12">
        <v>173.4503</v>
      </c>
      <c r="V68" s="12" t="s">
        <v>942</v>
      </c>
      <c r="W68" s="12" t="b">
        <v>1</v>
      </c>
      <c r="X68" s="12">
        <v>1</v>
      </c>
      <c r="Y68" s="13" t="b">
        <v>1</v>
      </c>
    </row>
    <row r="69" spans="1:25">
      <c r="A69" t="s">
        <v>287</v>
      </c>
      <c r="B69" t="s">
        <v>288</v>
      </c>
      <c r="C69" t="s">
        <v>289</v>
      </c>
      <c r="D69" t="s">
        <v>127</v>
      </c>
      <c r="E69" t="s">
        <v>127</v>
      </c>
      <c r="F69" t="s">
        <v>290</v>
      </c>
      <c r="H69" t="s">
        <v>127</v>
      </c>
      <c r="K69">
        <v>1687</v>
      </c>
      <c r="L69" t="s">
        <v>252</v>
      </c>
      <c r="M69" t="s">
        <v>24</v>
      </c>
      <c r="N69" t="s">
        <v>25</v>
      </c>
      <c r="P69" s="11" t="s">
        <v>545</v>
      </c>
      <c r="Q69" s="12" t="s">
        <v>288</v>
      </c>
      <c r="R69" s="12" t="s">
        <v>943</v>
      </c>
      <c r="S69" s="12" t="b">
        <v>0</v>
      </c>
      <c r="T69" s="12">
        <v>0.87780000000000002</v>
      </c>
      <c r="U69" s="12">
        <v>75.490799999999993</v>
      </c>
      <c r="V69" s="12" t="s">
        <v>944</v>
      </c>
      <c r="W69" s="12" t="b">
        <v>1</v>
      </c>
      <c r="X69" s="12">
        <v>15</v>
      </c>
      <c r="Y69" s="13" t="b">
        <v>1</v>
      </c>
    </row>
    <row r="70" spans="1:25">
      <c r="A70" t="s">
        <v>291</v>
      </c>
      <c r="B70" t="s">
        <v>292</v>
      </c>
      <c r="C70" t="s">
        <v>293</v>
      </c>
      <c r="D70" t="s">
        <v>19</v>
      </c>
      <c r="E70" t="s">
        <v>20</v>
      </c>
      <c r="F70" t="s">
        <v>291</v>
      </c>
      <c r="H70" t="s">
        <v>294</v>
      </c>
      <c r="K70" t="s">
        <v>295</v>
      </c>
      <c r="L70" t="s">
        <v>252</v>
      </c>
      <c r="M70" t="s">
        <v>24</v>
      </c>
      <c r="N70" t="s">
        <v>25</v>
      </c>
      <c r="P70" s="11" t="s">
        <v>548</v>
      </c>
      <c r="Q70" s="12" t="s">
        <v>292</v>
      </c>
      <c r="R70" s="12" t="s">
        <v>884</v>
      </c>
      <c r="S70" s="12" t="b">
        <v>0</v>
      </c>
      <c r="T70" s="12">
        <v>0.86299999999999999</v>
      </c>
      <c r="U70" s="12">
        <v>68.566199999999995</v>
      </c>
      <c r="V70" s="12" t="s">
        <v>945</v>
      </c>
      <c r="W70" s="12" t="b">
        <v>1</v>
      </c>
      <c r="X70" s="12">
        <v>4</v>
      </c>
      <c r="Y70" s="13" t="b">
        <v>1</v>
      </c>
    </row>
    <row r="71" spans="1:25">
      <c r="A71" t="s">
        <v>296</v>
      </c>
      <c r="B71" t="s">
        <v>297</v>
      </c>
      <c r="C71" t="s">
        <v>298</v>
      </c>
      <c r="D71" t="s">
        <v>19</v>
      </c>
      <c r="E71" t="s">
        <v>20</v>
      </c>
      <c r="F71" t="s">
        <v>299</v>
      </c>
      <c r="H71" t="s">
        <v>300</v>
      </c>
      <c r="K71" t="s">
        <v>301</v>
      </c>
      <c r="L71" t="s">
        <v>252</v>
      </c>
      <c r="M71" t="s">
        <v>24</v>
      </c>
      <c r="N71" t="s">
        <v>25</v>
      </c>
      <c r="P71" s="11" t="s">
        <v>551</v>
      </c>
      <c r="Q71" s="12" t="s">
        <v>297</v>
      </c>
      <c r="R71" s="12" t="s">
        <v>297</v>
      </c>
      <c r="S71" s="12" t="b">
        <v>1</v>
      </c>
      <c r="T71" s="12">
        <v>1.0133000000000001</v>
      </c>
      <c r="U71" s="12">
        <v>180.9616</v>
      </c>
      <c r="V71" s="12" t="s">
        <v>946</v>
      </c>
      <c r="W71" s="12" t="b">
        <v>1</v>
      </c>
      <c r="X71" s="12">
        <v>1</v>
      </c>
      <c r="Y71" s="13" t="b">
        <v>1</v>
      </c>
    </row>
    <row r="72" spans="1:25">
      <c r="A72" t="s">
        <v>302</v>
      </c>
      <c r="B72" t="s">
        <v>100</v>
      </c>
      <c r="C72" t="s">
        <v>303</v>
      </c>
      <c r="D72" t="s">
        <v>79</v>
      </c>
      <c r="E72" t="s">
        <v>79</v>
      </c>
      <c r="F72" t="s">
        <v>304</v>
      </c>
      <c r="H72" t="s">
        <v>82</v>
      </c>
      <c r="K72" t="s">
        <v>305</v>
      </c>
      <c r="L72" t="s">
        <v>252</v>
      </c>
      <c r="M72" t="s">
        <v>24</v>
      </c>
      <c r="N72" t="s">
        <v>31</v>
      </c>
      <c r="P72" s="11" t="s">
        <v>553</v>
      </c>
      <c r="Q72" s="12" t="s">
        <v>100</v>
      </c>
      <c r="R72" s="12" t="s">
        <v>100</v>
      </c>
      <c r="S72" s="12" t="b">
        <v>1</v>
      </c>
      <c r="T72" s="12">
        <v>0.87519999999999998</v>
      </c>
      <c r="U72" s="12">
        <v>269.47710000000001</v>
      </c>
      <c r="V72" s="12" t="s">
        <v>947</v>
      </c>
      <c r="W72" s="12" t="b">
        <v>1</v>
      </c>
      <c r="X72" s="12">
        <v>1</v>
      </c>
      <c r="Y72" s="13" t="b">
        <v>1</v>
      </c>
    </row>
    <row r="73" spans="1:25">
      <c r="A73" t="s">
        <v>306</v>
      </c>
      <c r="B73" t="s">
        <v>307</v>
      </c>
      <c r="C73" t="s">
        <v>308</v>
      </c>
      <c r="D73" t="s">
        <v>19</v>
      </c>
      <c r="E73" t="s">
        <v>20</v>
      </c>
      <c r="F73" t="s">
        <v>309</v>
      </c>
      <c r="H73" t="s">
        <v>310</v>
      </c>
      <c r="K73" t="s">
        <v>311</v>
      </c>
      <c r="L73" t="s">
        <v>252</v>
      </c>
      <c r="M73" t="s">
        <v>24</v>
      </c>
      <c r="N73" t="s">
        <v>25</v>
      </c>
      <c r="P73" s="11" t="s">
        <v>556</v>
      </c>
      <c r="Q73" s="12" t="s">
        <v>307</v>
      </c>
      <c r="R73" s="12" t="s">
        <v>307</v>
      </c>
      <c r="S73" s="12" t="b">
        <v>1</v>
      </c>
      <c r="T73" s="12">
        <v>0.9849</v>
      </c>
      <c r="U73" s="12">
        <v>150.72659999999999</v>
      </c>
      <c r="V73" s="12" t="s">
        <v>948</v>
      </c>
      <c r="W73" s="12" t="b">
        <v>1</v>
      </c>
      <c r="X73" s="12">
        <v>1</v>
      </c>
      <c r="Y73" s="13" t="b">
        <v>1</v>
      </c>
    </row>
    <row r="74" spans="1:25">
      <c r="A74" t="s">
        <v>184</v>
      </c>
      <c r="B74" t="s">
        <v>185</v>
      </c>
      <c r="C74" t="s">
        <v>186</v>
      </c>
      <c r="D74" t="s">
        <v>19</v>
      </c>
      <c r="E74" t="s">
        <v>20</v>
      </c>
      <c r="F74" t="s">
        <v>185</v>
      </c>
      <c r="L74" t="s">
        <v>312</v>
      </c>
      <c r="M74" t="s">
        <v>24</v>
      </c>
      <c r="N74" t="s">
        <v>25</v>
      </c>
      <c r="P74" s="11" t="s">
        <v>185</v>
      </c>
      <c r="Q74" s="12" t="s">
        <v>185</v>
      </c>
      <c r="R74" s="12" t="s">
        <v>185</v>
      </c>
      <c r="S74" s="12" t="b">
        <v>1</v>
      </c>
      <c r="T74" s="12">
        <v>0.97199999999999998</v>
      </c>
      <c r="U74" s="12">
        <v>501.52589999999998</v>
      </c>
      <c r="V74" s="12" t="s">
        <v>949</v>
      </c>
      <c r="W74" s="12" t="b">
        <v>1</v>
      </c>
      <c r="X74" s="12">
        <v>1</v>
      </c>
      <c r="Y74" s="13" t="b">
        <v>1</v>
      </c>
    </row>
    <row r="75" spans="1:25">
      <c r="A75" t="s">
        <v>313</v>
      </c>
      <c r="B75" t="s">
        <v>221</v>
      </c>
      <c r="C75" t="s">
        <v>314</v>
      </c>
      <c r="D75" t="s">
        <v>127</v>
      </c>
      <c r="E75" t="s">
        <v>127</v>
      </c>
      <c r="F75" t="s">
        <v>221</v>
      </c>
      <c r="L75" t="s">
        <v>312</v>
      </c>
      <c r="M75" t="s">
        <v>24</v>
      </c>
      <c r="N75" t="s">
        <v>25</v>
      </c>
      <c r="P75" s="11" t="s">
        <v>221</v>
      </c>
      <c r="Q75" s="12" t="s">
        <v>221</v>
      </c>
      <c r="R75" s="12" t="s">
        <v>221</v>
      </c>
      <c r="S75" s="12" t="b">
        <v>1</v>
      </c>
      <c r="T75" s="12">
        <v>1</v>
      </c>
      <c r="U75" s="12">
        <v>642.42079999999999</v>
      </c>
      <c r="V75" s="12" t="s">
        <v>950</v>
      </c>
      <c r="W75" s="12" t="b">
        <v>1</v>
      </c>
      <c r="X75" s="12">
        <v>1</v>
      </c>
      <c r="Y75" s="13" t="b">
        <v>1</v>
      </c>
    </row>
    <row r="76" spans="1:25">
      <c r="A76" t="s">
        <v>315</v>
      </c>
      <c r="B76" t="s">
        <v>316</v>
      </c>
      <c r="C76" t="s">
        <v>317</v>
      </c>
      <c r="D76" t="s">
        <v>44</v>
      </c>
      <c r="E76" t="s">
        <v>20</v>
      </c>
      <c r="F76" t="s">
        <v>316</v>
      </c>
      <c r="L76" t="s">
        <v>312</v>
      </c>
      <c r="M76" t="s">
        <v>24</v>
      </c>
      <c r="N76" t="s">
        <v>25</v>
      </c>
      <c r="P76" s="11" t="s">
        <v>316</v>
      </c>
      <c r="Q76" s="12" t="s">
        <v>316</v>
      </c>
      <c r="R76" s="12" t="s">
        <v>316</v>
      </c>
      <c r="S76" s="12" t="b">
        <v>1</v>
      </c>
      <c r="T76" s="12">
        <v>1</v>
      </c>
      <c r="U76" s="12">
        <v>818.26829999999995</v>
      </c>
      <c r="V76" s="12" t="s">
        <v>951</v>
      </c>
      <c r="W76" s="12" t="b">
        <v>1</v>
      </c>
      <c r="X76" s="12">
        <v>1</v>
      </c>
      <c r="Y76" s="13" t="b">
        <v>1</v>
      </c>
    </row>
    <row r="77" spans="1:25">
      <c r="A77" t="s">
        <v>318</v>
      </c>
      <c r="B77" t="s">
        <v>316</v>
      </c>
      <c r="C77" t="s">
        <v>319</v>
      </c>
      <c r="D77" t="s">
        <v>127</v>
      </c>
      <c r="E77" t="s">
        <v>127</v>
      </c>
      <c r="F77" t="s">
        <v>316</v>
      </c>
      <c r="L77" t="s">
        <v>312</v>
      </c>
      <c r="M77" t="s">
        <v>24</v>
      </c>
      <c r="N77" t="s">
        <v>25</v>
      </c>
      <c r="P77" s="11" t="s">
        <v>316</v>
      </c>
      <c r="Q77" s="12" t="s">
        <v>316</v>
      </c>
      <c r="R77" s="12" t="s">
        <v>316</v>
      </c>
      <c r="S77" s="12" t="b">
        <v>1</v>
      </c>
      <c r="T77" s="12">
        <v>1</v>
      </c>
      <c r="U77" s="12">
        <v>818.26829999999995</v>
      </c>
      <c r="V77" s="12" t="s">
        <v>951</v>
      </c>
      <c r="W77" s="12" t="b">
        <v>1</v>
      </c>
      <c r="X77" s="12">
        <v>1</v>
      </c>
      <c r="Y77" s="13" t="b">
        <v>1</v>
      </c>
    </row>
    <row r="78" spans="1:25">
      <c r="A78" t="s">
        <v>320</v>
      </c>
      <c r="B78" t="s">
        <v>321</v>
      </c>
      <c r="C78" t="s">
        <v>322</v>
      </c>
      <c r="D78" t="s">
        <v>127</v>
      </c>
      <c r="E78" t="s">
        <v>127</v>
      </c>
      <c r="F78" t="s">
        <v>321</v>
      </c>
      <c r="L78" t="s">
        <v>312</v>
      </c>
      <c r="M78" t="s">
        <v>24</v>
      </c>
      <c r="N78" t="s">
        <v>25</v>
      </c>
      <c r="P78" s="11" t="s">
        <v>321</v>
      </c>
      <c r="Q78" s="12" t="s">
        <v>321</v>
      </c>
      <c r="R78" s="12"/>
      <c r="S78" s="12" t="b">
        <v>0</v>
      </c>
      <c r="T78" s="12">
        <v>1</v>
      </c>
      <c r="U78" s="12">
        <v>640.21450000000004</v>
      </c>
      <c r="V78" s="12" t="s">
        <v>952</v>
      </c>
      <c r="W78" s="12" t="b">
        <v>1</v>
      </c>
      <c r="X78" s="12">
        <v>2</v>
      </c>
      <c r="Y78" s="13" t="b">
        <v>1</v>
      </c>
    </row>
    <row r="79" spans="1:25">
      <c r="A79" t="s">
        <v>324</v>
      </c>
      <c r="B79" t="s">
        <v>148</v>
      </c>
      <c r="C79" t="s">
        <v>325</v>
      </c>
      <c r="D79" t="s">
        <v>79</v>
      </c>
      <c r="E79" t="s">
        <v>20</v>
      </c>
      <c r="F79" t="s">
        <v>148</v>
      </c>
      <c r="L79" t="s">
        <v>312</v>
      </c>
      <c r="M79" t="s">
        <v>24</v>
      </c>
      <c r="N79" t="s">
        <v>25</v>
      </c>
      <c r="P79" s="11" t="s">
        <v>148</v>
      </c>
      <c r="Q79" s="12" t="s">
        <v>148</v>
      </c>
      <c r="R79" s="12" t="s">
        <v>148</v>
      </c>
      <c r="S79" s="12" t="b">
        <v>1</v>
      </c>
      <c r="T79" s="12">
        <v>0.89439999999999997</v>
      </c>
      <c r="U79" s="12">
        <v>304.70159999999998</v>
      </c>
      <c r="V79" s="12" t="s">
        <v>953</v>
      </c>
      <c r="W79" s="12" t="b">
        <v>1</v>
      </c>
      <c r="X79" s="12">
        <v>1</v>
      </c>
      <c r="Y79" s="13" t="b">
        <v>1</v>
      </c>
    </row>
    <row r="80" spans="1:25">
      <c r="A80" t="s">
        <v>326</v>
      </c>
      <c r="B80" t="s">
        <v>100</v>
      </c>
      <c r="C80" t="s">
        <v>101</v>
      </c>
      <c r="D80" t="s">
        <v>44</v>
      </c>
      <c r="E80" t="s">
        <v>20</v>
      </c>
      <c r="F80" t="s">
        <v>100</v>
      </c>
      <c r="L80" t="s">
        <v>312</v>
      </c>
      <c r="M80" t="s">
        <v>24</v>
      </c>
      <c r="N80" t="s">
        <v>25</v>
      </c>
      <c r="P80" s="11" t="s">
        <v>100</v>
      </c>
      <c r="Q80" s="12" t="s">
        <v>100</v>
      </c>
      <c r="R80" s="12" t="s">
        <v>100</v>
      </c>
      <c r="S80" s="12" t="b">
        <v>1</v>
      </c>
      <c r="T80" s="12">
        <v>1</v>
      </c>
      <c r="U80" s="12">
        <v>771.27059999999994</v>
      </c>
      <c r="V80" s="12" t="s">
        <v>954</v>
      </c>
      <c r="W80" s="12" t="b">
        <v>1</v>
      </c>
      <c r="X80" s="12">
        <v>1</v>
      </c>
      <c r="Y80" s="13" t="b">
        <v>1</v>
      </c>
    </row>
    <row r="81" spans="1:25">
      <c r="A81" t="s">
        <v>199</v>
      </c>
      <c r="B81" t="s">
        <v>200</v>
      </c>
      <c r="C81" t="s">
        <v>201</v>
      </c>
      <c r="D81" t="s">
        <v>19</v>
      </c>
      <c r="E81" t="s">
        <v>20</v>
      </c>
      <c r="F81" t="s">
        <v>200</v>
      </c>
      <c r="L81" t="s">
        <v>312</v>
      </c>
      <c r="M81" t="s">
        <v>24</v>
      </c>
      <c r="N81" t="s">
        <v>25</v>
      </c>
      <c r="P81" s="11" t="s">
        <v>200</v>
      </c>
      <c r="Q81" s="12" t="s">
        <v>200</v>
      </c>
      <c r="R81" s="12" t="s">
        <v>200</v>
      </c>
      <c r="S81" s="12" t="b">
        <v>1</v>
      </c>
      <c r="T81" s="12">
        <v>0.94130000000000003</v>
      </c>
      <c r="U81" s="12">
        <v>411.87729999999999</v>
      </c>
      <c r="V81" s="12" t="s">
        <v>955</v>
      </c>
      <c r="W81" s="12" t="b">
        <v>1</v>
      </c>
      <c r="X81" s="12">
        <v>1</v>
      </c>
      <c r="Y81" s="13" t="b">
        <v>1</v>
      </c>
    </row>
    <row r="82" spans="1:25">
      <c r="A82" t="s">
        <v>327</v>
      </c>
      <c r="B82" t="s">
        <v>328</v>
      </c>
      <c r="C82" t="s">
        <v>329</v>
      </c>
      <c r="D82" t="s">
        <v>127</v>
      </c>
      <c r="E82" t="s">
        <v>127</v>
      </c>
      <c r="F82" t="s">
        <v>328</v>
      </c>
      <c r="L82" t="s">
        <v>312</v>
      </c>
      <c r="M82" t="s">
        <v>24</v>
      </c>
      <c r="N82" t="s">
        <v>25</v>
      </c>
      <c r="P82" s="11" t="s">
        <v>328</v>
      </c>
      <c r="Q82" s="12" t="s">
        <v>328</v>
      </c>
      <c r="R82" s="12" t="s">
        <v>328</v>
      </c>
      <c r="S82" s="12" t="b">
        <v>1</v>
      </c>
      <c r="T82" s="12">
        <v>0.98450000000000004</v>
      </c>
      <c r="U82" s="12">
        <v>543.27319999999997</v>
      </c>
      <c r="V82" s="12" t="s">
        <v>956</v>
      </c>
      <c r="W82" s="12" t="b">
        <v>1</v>
      </c>
      <c r="X82" s="12">
        <v>1</v>
      </c>
      <c r="Y82" s="13" t="b">
        <v>1</v>
      </c>
    </row>
    <row r="83" spans="1:25">
      <c r="A83" t="s">
        <v>330</v>
      </c>
      <c r="B83" t="s">
        <v>331</v>
      </c>
      <c r="C83" t="s">
        <v>332</v>
      </c>
      <c r="D83" t="s">
        <v>79</v>
      </c>
      <c r="E83" t="s">
        <v>20</v>
      </c>
      <c r="G83" t="s">
        <v>330</v>
      </c>
      <c r="L83" t="s">
        <v>334</v>
      </c>
      <c r="M83" t="s">
        <v>24</v>
      </c>
      <c r="N83" t="s">
        <v>31</v>
      </c>
      <c r="P83" s="11" t="s">
        <v>330</v>
      </c>
      <c r="Q83" s="12" t="s">
        <v>331</v>
      </c>
      <c r="R83" s="12" t="s">
        <v>331</v>
      </c>
      <c r="S83" s="12" t="b">
        <v>1</v>
      </c>
      <c r="T83" s="12">
        <v>1.0489999999999999</v>
      </c>
      <c r="U83" s="12">
        <v>227.65639999999999</v>
      </c>
      <c r="V83" s="12" t="s">
        <v>957</v>
      </c>
      <c r="W83" s="12" t="b">
        <v>1</v>
      </c>
      <c r="X83" s="12">
        <v>1</v>
      </c>
      <c r="Y83" s="13" t="b">
        <v>1</v>
      </c>
    </row>
    <row r="84" spans="1:25">
      <c r="A84" t="s">
        <v>335</v>
      </c>
      <c r="B84" t="s">
        <v>335</v>
      </c>
      <c r="C84" t="s">
        <v>336</v>
      </c>
      <c r="D84" t="s">
        <v>79</v>
      </c>
      <c r="E84" t="s">
        <v>20</v>
      </c>
      <c r="G84" t="s">
        <v>338</v>
      </c>
      <c r="L84" t="s">
        <v>334</v>
      </c>
      <c r="M84" t="s">
        <v>24</v>
      </c>
      <c r="N84" t="s">
        <v>31</v>
      </c>
      <c r="P84" s="11" t="s">
        <v>338</v>
      </c>
      <c r="Q84" s="12" t="s">
        <v>335</v>
      </c>
      <c r="R84" s="12" t="s">
        <v>335</v>
      </c>
      <c r="S84" s="12" t="b">
        <v>1</v>
      </c>
      <c r="T84" s="12">
        <v>1.0767</v>
      </c>
      <c r="U84" s="12">
        <v>272.10419999999999</v>
      </c>
      <c r="V84" s="12" t="s">
        <v>958</v>
      </c>
      <c r="W84" s="12" t="b">
        <v>1</v>
      </c>
      <c r="X84" s="12">
        <v>1</v>
      </c>
      <c r="Y84" s="13" t="b">
        <v>1</v>
      </c>
    </row>
    <row r="85" spans="1:25">
      <c r="A85" t="s">
        <v>339</v>
      </c>
      <c r="B85" t="s">
        <v>340</v>
      </c>
      <c r="C85" t="s">
        <v>341</v>
      </c>
      <c r="D85" t="s">
        <v>127</v>
      </c>
      <c r="E85" t="s">
        <v>127</v>
      </c>
      <c r="G85" t="s">
        <v>342</v>
      </c>
      <c r="L85" t="s">
        <v>334</v>
      </c>
      <c r="M85" t="s">
        <v>24</v>
      </c>
      <c r="N85" t="s">
        <v>31</v>
      </c>
      <c r="P85" s="11" t="s">
        <v>342</v>
      </c>
      <c r="Q85" s="12" t="s">
        <v>340</v>
      </c>
      <c r="R85" s="12" t="s">
        <v>340</v>
      </c>
      <c r="S85" s="12" t="b">
        <v>1</v>
      </c>
      <c r="T85" s="12">
        <v>1.1462000000000001</v>
      </c>
      <c r="U85" s="12">
        <v>424.90899999999999</v>
      </c>
      <c r="V85" s="12" t="s">
        <v>959</v>
      </c>
      <c r="W85" s="12" t="b">
        <v>1</v>
      </c>
      <c r="X85" s="12">
        <v>1</v>
      </c>
      <c r="Y85" s="13" t="b">
        <v>1</v>
      </c>
    </row>
    <row r="86" spans="1:25">
      <c r="A86" t="s">
        <v>343</v>
      </c>
      <c r="B86" t="s">
        <v>344</v>
      </c>
      <c r="C86" t="s">
        <v>345</v>
      </c>
      <c r="D86" t="s">
        <v>19</v>
      </c>
      <c r="E86" t="s">
        <v>20</v>
      </c>
      <c r="G86" t="s">
        <v>347</v>
      </c>
      <c r="L86" t="s">
        <v>334</v>
      </c>
      <c r="M86" t="s">
        <v>24</v>
      </c>
      <c r="N86" t="s">
        <v>25</v>
      </c>
      <c r="P86" s="11" t="s">
        <v>347</v>
      </c>
      <c r="Q86" s="12" t="s">
        <v>344</v>
      </c>
      <c r="R86" s="12" t="s">
        <v>344</v>
      </c>
      <c r="S86" s="12" t="b">
        <v>1</v>
      </c>
      <c r="T86" s="12">
        <v>0.99650000000000005</v>
      </c>
      <c r="U86" s="12">
        <v>162.39429999999999</v>
      </c>
      <c r="V86" s="12" t="s">
        <v>960</v>
      </c>
      <c r="W86" s="12" t="b">
        <v>1</v>
      </c>
      <c r="X86" s="12">
        <v>1</v>
      </c>
      <c r="Y86" s="13" t="b">
        <v>1</v>
      </c>
    </row>
    <row r="87" spans="1:25">
      <c r="A87" t="s">
        <v>348</v>
      </c>
      <c r="B87" t="s">
        <v>349</v>
      </c>
      <c r="C87" t="s">
        <v>350</v>
      </c>
      <c r="D87" t="s">
        <v>127</v>
      </c>
      <c r="E87" t="s">
        <v>127</v>
      </c>
      <c r="G87" t="s">
        <v>352</v>
      </c>
      <c r="L87" t="s">
        <v>334</v>
      </c>
      <c r="M87" t="s">
        <v>24</v>
      </c>
      <c r="N87" t="s">
        <v>25</v>
      </c>
      <c r="P87" s="11" t="s">
        <v>352</v>
      </c>
      <c r="Q87" s="12" t="s">
        <v>349</v>
      </c>
      <c r="R87" s="12" t="s">
        <v>349</v>
      </c>
      <c r="S87" s="12" t="b">
        <v>1</v>
      </c>
      <c r="T87" s="12">
        <v>1.0158</v>
      </c>
      <c r="U87" s="12">
        <v>183.87370000000001</v>
      </c>
      <c r="V87" s="12" t="s">
        <v>961</v>
      </c>
      <c r="W87" s="12" t="b">
        <v>1</v>
      </c>
      <c r="X87" s="12">
        <v>1</v>
      </c>
      <c r="Y87" s="13" t="b">
        <v>1</v>
      </c>
    </row>
    <row r="88" spans="1:25">
      <c r="A88" t="s">
        <v>353</v>
      </c>
      <c r="B88" t="s">
        <v>241</v>
      </c>
      <c r="C88" t="s">
        <v>242</v>
      </c>
      <c r="D88" t="s">
        <v>19</v>
      </c>
      <c r="E88" t="s">
        <v>20</v>
      </c>
      <c r="G88" t="s">
        <v>355</v>
      </c>
      <c r="L88" t="s">
        <v>334</v>
      </c>
      <c r="M88" t="s">
        <v>24</v>
      </c>
      <c r="N88" t="s">
        <v>31</v>
      </c>
      <c r="P88" s="11" t="s">
        <v>355</v>
      </c>
      <c r="Q88" s="12" t="s">
        <v>241</v>
      </c>
      <c r="R88" s="12" t="s">
        <v>241</v>
      </c>
      <c r="S88" s="12" t="b">
        <v>1</v>
      </c>
      <c r="T88" s="12">
        <v>0.98609999999999998</v>
      </c>
      <c r="U88" s="12">
        <v>151.96940000000001</v>
      </c>
      <c r="V88" s="12" t="s">
        <v>962</v>
      </c>
      <c r="W88" s="12" t="b">
        <v>1</v>
      </c>
      <c r="X88" s="12">
        <v>1</v>
      </c>
      <c r="Y88" s="13" t="b">
        <v>1</v>
      </c>
    </row>
    <row r="89" spans="1:25">
      <c r="A89" s="2" t="s">
        <v>356</v>
      </c>
      <c r="B89" s="2" t="s">
        <v>266</v>
      </c>
      <c r="C89" s="2" t="s">
        <v>357</v>
      </c>
      <c r="D89" s="2" t="s">
        <v>79</v>
      </c>
      <c r="E89" s="2" t="s">
        <v>20</v>
      </c>
      <c r="F89" s="2"/>
      <c r="G89" s="2" t="s">
        <v>358</v>
      </c>
      <c r="H89" s="2"/>
      <c r="I89" s="2"/>
      <c r="J89" s="2"/>
      <c r="K89" s="2"/>
      <c r="L89" s="2" t="s">
        <v>334</v>
      </c>
      <c r="M89" s="2" t="s">
        <v>24</v>
      </c>
      <c r="N89" s="2" t="s">
        <v>49</v>
      </c>
      <c r="P89" s="11" t="s">
        <v>358</v>
      </c>
      <c r="Q89" s="12" t="s">
        <v>266</v>
      </c>
      <c r="R89" s="12"/>
      <c r="S89" s="12" t="b">
        <v>0</v>
      </c>
      <c r="T89" s="12">
        <v>0.76080000000000003</v>
      </c>
      <c r="U89" s="12">
        <v>35.183500000000002</v>
      </c>
      <c r="V89" s="12" t="s">
        <v>963</v>
      </c>
      <c r="W89" s="12" t="b">
        <v>1</v>
      </c>
      <c r="X89" s="12">
        <v>20</v>
      </c>
      <c r="Y89" s="13" t="b">
        <v>1</v>
      </c>
    </row>
    <row r="90" spans="1:25">
      <c r="A90" t="s">
        <v>359</v>
      </c>
      <c r="B90" t="s">
        <v>360</v>
      </c>
      <c r="C90" t="s">
        <v>361</v>
      </c>
      <c r="D90" t="s">
        <v>127</v>
      </c>
      <c r="E90" t="s">
        <v>127</v>
      </c>
      <c r="G90" t="s">
        <v>363</v>
      </c>
      <c r="L90" t="s">
        <v>334</v>
      </c>
      <c r="M90" t="s">
        <v>24</v>
      </c>
      <c r="N90" t="s">
        <v>25</v>
      </c>
      <c r="P90" s="11" t="s">
        <v>363</v>
      </c>
      <c r="Q90" s="12" t="s">
        <v>360</v>
      </c>
      <c r="R90" s="12" t="s">
        <v>360</v>
      </c>
      <c r="S90" s="12" t="b">
        <v>1</v>
      </c>
      <c r="T90" s="12">
        <v>0.99880000000000002</v>
      </c>
      <c r="U90" s="12">
        <v>164.8374</v>
      </c>
      <c r="V90" s="12" t="s">
        <v>964</v>
      </c>
      <c r="W90" s="12" t="b">
        <v>1</v>
      </c>
      <c r="X90" s="12">
        <v>1</v>
      </c>
      <c r="Y90" s="13" t="b">
        <v>1</v>
      </c>
    </row>
    <row r="91" spans="1:25">
      <c r="A91" t="s">
        <v>364</v>
      </c>
      <c r="B91" t="s">
        <v>365</v>
      </c>
      <c r="C91" t="s">
        <v>366</v>
      </c>
      <c r="D91" t="s">
        <v>19</v>
      </c>
      <c r="E91" t="s">
        <v>20</v>
      </c>
      <c r="G91" t="s">
        <v>368</v>
      </c>
      <c r="L91" t="s">
        <v>334</v>
      </c>
      <c r="M91" t="s">
        <v>24</v>
      </c>
      <c r="N91" t="s">
        <v>25</v>
      </c>
      <c r="P91" s="11" t="s">
        <v>368</v>
      </c>
      <c r="Q91" s="12" t="s">
        <v>365</v>
      </c>
      <c r="R91" s="12" t="s">
        <v>365</v>
      </c>
      <c r="S91" s="12" t="b">
        <v>1</v>
      </c>
      <c r="T91" s="12">
        <v>0.96150000000000002</v>
      </c>
      <c r="U91" s="12">
        <v>129.61590000000001</v>
      </c>
      <c r="V91" s="12" t="s">
        <v>965</v>
      </c>
      <c r="W91" s="12" t="b">
        <v>1</v>
      </c>
      <c r="X91" s="12">
        <v>1</v>
      </c>
      <c r="Y91" s="13" t="b">
        <v>1</v>
      </c>
    </row>
    <row r="92" spans="1:25">
      <c r="A92" t="s">
        <v>37</v>
      </c>
      <c r="B92" t="s">
        <v>38</v>
      </c>
      <c r="C92" t="s">
        <v>369</v>
      </c>
      <c r="D92" t="s">
        <v>127</v>
      </c>
      <c r="E92" t="s">
        <v>127</v>
      </c>
      <c r="G92" t="s">
        <v>371</v>
      </c>
      <c r="L92" t="s">
        <v>372</v>
      </c>
      <c r="M92" t="s">
        <v>24</v>
      </c>
      <c r="N92" t="s">
        <v>31</v>
      </c>
      <c r="P92" s="11" t="s">
        <v>371</v>
      </c>
      <c r="Q92" s="12" t="s">
        <v>38</v>
      </c>
      <c r="R92" s="12" t="s">
        <v>38</v>
      </c>
      <c r="S92" s="12" t="b">
        <v>1</v>
      </c>
      <c r="T92" s="12">
        <v>1.0718000000000001</v>
      </c>
      <c r="U92" s="12">
        <v>263.57100000000003</v>
      </c>
      <c r="V92" s="12" t="s">
        <v>966</v>
      </c>
      <c r="W92" s="12" t="b">
        <v>1</v>
      </c>
      <c r="X92" s="12">
        <v>1</v>
      </c>
      <c r="Y92" s="13" t="b">
        <v>1</v>
      </c>
    </row>
    <row r="93" spans="1:25">
      <c r="A93" t="s">
        <v>373</v>
      </c>
      <c r="B93" t="s">
        <v>271</v>
      </c>
      <c r="C93" t="s">
        <v>374</v>
      </c>
      <c r="D93" t="s">
        <v>127</v>
      </c>
      <c r="E93" t="s">
        <v>127</v>
      </c>
      <c r="G93" t="s">
        <v>375</v>
      </c>
      <c r="L93" t="s">
        <v>372</v>
      </c>
      <c r="M93" t="s">
        <v>24</v>
      </c>
      <c r="N93" t="s">
        <v>25</v>
      </c>
      <c r="P93" s="11" t="s">
        <v>375</v>
      </c>
      <c r="Q93" s="12" t="s">
        <v>271</v>
      </c>
      <c r="R93" s="12" t="s">
        <v>271</v>
      </c>
      <c r="S93" s="12" t="b">
        <v>1</v>
      </c>
      <c r="T93" s="12">
        <v>1.0177</v>
      </c>
      <c r="U93" s="12">
        <v>186.19319999999999</v>
      </c>
      <c r="V93" s="12" t="s">
        <v>967</v>
      </c>
      <c r="W93" s="12" t="b">
        <v>1</v>
      </c>
      <c r="X93" s="12">
        <v>1</v>
      </c>
      <c r="Y93" s="13" t="b">
        <v>1</v>
      </c>
    </row>
    <row r="94" spans="1:25">
      <c r="A94" t="s">
        <v>376</v>
      </c>
      <c r="B94" t="s">
        <v>377</v>
      </c>
      <c r="C94" t="s">
        <v>378</v>
      </c>
      <c r="D94" t="s">
        <v>379</v>
      </c>
      <c r="E94" t="s">
        <v>379</v>
      </c>
      <c r="G94" t="s">
        <v>381</v>
      </c>
      <c r="L94" t="s">
        <v>372</v>
      </c>
      <c r="M94" t="s">
        <v>24</v>
      </c>
      <c r="N94" t="s">
        <v>49</v>
      </c>
      <c r="P94" s="11" t="s">
        <v>381</v>
      </c>
      <c r="Q94" s="12" t="s">
        <v>377</v>
      </c>
      <c r="R94" s="12" t="s">
        <v>968</v>
      </c>
      <c r="S94" s="12" t="b">
        <v>0</v>
      </c>
      <c r="T94" s="12">
        <v>0.872</v>
      </c>
      <c r="U94" s="12">
        <v>72.669300000000007</v>
      </c>
      <c r="V94" s="12" t="s">
        <v>969</v>
      </c>
      <c r="W94" s="12" t="b">
        <v>1</v>
      </c>
      <c r="X94" s="12">
        <v>15</v>
      </c>
      <c r="Y94" s="13" t="b">
        <v>1</v>
      </c>
    </row>
    <row r="95" spans="1:25">
      <c r="A95" t="s">
        <v>382</v>
      </c>
      <c r="B95" t="s">
        <v>383</v>
      </c>
      <c r="C95" t="s">
        <v>384</v>
      </c>
      <c r="D95" t="s">
        <v>127</v>
      </c>
      <c r="E95" t="s">
        <v>127</v>
      </c>
      <c r="G95" t="s">
        <v>386</v>
      </c>
      <c r="L95" t="s">
        <v>372</v>
      </c>
      <c r="M95" t="s">
        <v>24</v>
      </c>
      <c r="N95" t="s">
        <v>31</v>
      </c>
      <c r="P95" s="11" t="s">
        <v>386</v>
      </c>
      <c r="Q95" s="12" t="s">
        <v>383</v>
      </c>
      <c r="R95" s="12" t="s">
        <v>383</v>
      </c>
      <c r="S95" s="12" t="b">
        <v>1</v>
      </c>
      <c r="T95" s="12">
        <v>1.0918000000000001</v>
      </c>
      <c r="U95" s="12">
        <v>299.66039999999998</v>
      </c>
      <c r="V95" s="12" t="s">
        <v>970</v>
      </c>
      <c r="W95" s="12" t="b">
        <v>1</v>
      </c>
      <c r="X95" s="12">
        <v>1</v>
      </c>
      <c r="Y95" s="13" t="b">
        <v>1</v>
      </c>
    </row>
    <row r="96" spans="1:25">
      <c r="A96" t="s">
        <v>382</v>
      </c>
      <c r="B96" t="s">
        <v>383</v>
      </c>
      <c r="C96" t="s">
        <v>384</v>
      </c>
      <c r="D96" t="s">
        <v>127</v>
      </c>
      <c r="E96" t="s">
        <v>127</v>
      </c>
      <c r="G96" t="s">
        <v>387</v>
      </c>
      <c r="L96" t="s">
        <v>372</v>
      </c>
      <c r="M96" t="s">
        <v>24</v>
      </c>
      <c r="N96" t="s">
        <v>31</v>
      </c>
      <c r="P96" s="11" t="s">
        <v>387</v>
      </c>
      <c r="Q96" s="12" t="s">
        <v>383</v>
      </c>
      <c r="R96" s="12" t="s">
        <v>383</v>
      </c>
      <c r="S96" s="12" t="b">
        <v>1</v>
      </c>
      <c r="T96" s="12">
        <v>1.0918000000000001</v>
      </c>
      <c r="U96" s="12">
        <v>299.66039999999998</v>
      </c>
      <c r="V96" s="12" t="s">
        <v>971</v>
      </c>
      <c r="W96" s="12" t="b">
        <v>1</v>
      </c>
      <c r="X96" s="12">
        <v>1</v>
      </c>
      <c r="Y96" s="13" t="b">
        <v>1</v>
      </c>
    </row>
    <row r="97" spans="1:25">
      <c r="A97" t="s">
        <v>388</v>
      </c>
      <c r="B97" t="s">
        <v>389</v>
      </c>
      <c r="C97" t="s">
        <v>390</v>
      </c>
      <c r="D97" t="s">
        <v>127</v>
      </c>
      <c r="E97" t="s">
        <v>127</v>
      </c>
      <c r="G97" t="s">
        <v>392</v>
      </c>
      <c r="L97" t="s">
        <v>372</v>
      </c>
      <c r="M97" t="s">
        <v>24</v>
      </c>
      <c r="N97" t="s">
        <v>25</v>
      </c>
      <c r="P97" s="11" t="s">
        <v>392</v>
      </c>
      <c r="Q97" s="12" t="s">
        <v>389</v>
      </c>
      <c r="R97" s="12" t="s">
        <v>389</v>
      </c>
      <c r="S97" s="12" t="b">
        <v>1</v>
      </c>
      <c r="T97" s="12">
        <v>0.98470000000000002</v>
      </c>
      <c r="U97" s="12">
        <v>150.57419999999999</v>
      </c>
      <c r="V97" s="12" t="s">
        <v>972</v>
      </c>
      <c r="W97" s="12" t="b">
        <v>1</v>
      </c>
      <c r="X97" s="12">
        <v>1</v>
      </c>
      <c r="Y97" s="13" t="b">
        <v>1</v>
      </c>
    </row>
    <row r="98" spans="1:25">
      <c r="A98" t="s">
        <v>348</v>
      </c>
      <c r="B98" t="s">
        <v>349</v>
      </c>
      <c r="C98" t="s">
        <v>350</v>
      </c>
      <c r="D98" t="s">
        <v>127</v>
      </c>
      <c r="E98" t="s">
        <v>127</v>
      </c>
      <c r="G98" t="s">
        <v>352</v>
      </c>
      <c r="L98" t="s">
        <v>372</v>
      </c>
      <c r="M98" t="s">
        <v>24</v>
      </c>
      <c r="N98" t="s">
        <v>25</v>
      </c>
      <c r="P98" s="11" t="s">
        <v>352</v>
      </c>
      <c r="Q98" s="12" t="s">
        <v>349</v>
      </c>
      <c r="R98" s="12" t="s">
        <v>349</v>
      </c>
      <c r="S98" s="12" t="b">
        <v>1</v>
      </c>
      <c r="T98" s="12">
        <v>1.0158</v>
      </c>
      <c r="U98" s="12">
        <v>183.87370000000001</v>
      </c>
      <c r="V98" s="12" t="s">
        <v>961</v>
      </c>
      <c r="W98" s="12" t="b">
        <v>1</v>
      </c>
      <c r="X98" s="12">
        <v>1</v>
      </c>
      <c r="Y98" s="13" t="b">
        <v>1</v>
      </c>
    </row>
    <row r="99" spans="1:25">
      <c r="A99" t="s">
        <v>393</v>
      </c>
      <c r="B99" t="s">
        <v>344</v>
      </c>
      <c r="C99" t="s">
        <v>394</v>
      </c>
      <c r="D99" t="s">
        <v>127</v>
      </c>
      <c r="E99" t="s">
        <v>127</v>
      </c>
      <c r="G99" t="s">
        <v>395</v>
      </c>
      <c r="L99" t="s">
        <v>372</v>
      </c>
      <c r="M99" t="s">
        <v>24</v>
      </c>
      <c r="N99" t="s">
        <v>25</v>
      </c>
      <c r="P99" s="11" t="s">
        <v>395</v>
      </c>
      <c r="Q99" s="12" t="s">
        <v>344</v>
      </c>
      <c r="R99" s="12" t="s">
        <v>344</v>
      </c>
      <c r="S99" s="12" t="b">
        <v>1</v>
      </c>
      <c r="T99" s="12">
        <v>0.98809999999999998</v>
      </c>
      <c r="U99" s="12">
        <v>153.91739999999999</v>
      </c>
      <c r="V99" s="12" t="s">
        <v>973</v>
      </c>
      <c r="W99" s="12" t="b">
        <v>1</v>
      </c>
      <c r="X99" s="12">
        <v>1</v>
      </c>
      <c r="Y99" s="13" t="b">
        <v>1</v>
      </c>
    </row>
    <row r="100" spans="1:25">
      <c r="A100" t="s">
        <v>396</v>
      </c>
      <c r="B100" t="s">
        <v>397</v>
      </c>
      <c r="C100" t="s">
        <v>398</v>
      </c>
      <c r="D100" t="s">
        <v>127</v>
      </c>
      <c r="E100" t="s">
        <v>127</v>
      </c>
      <c r="G100" t="s">
        <v>400</v>
      </c>
      <c r="L100" t="s">
        <v>372</v>
      </c>
      <c r="M100" t="s">
        <v>24</v>
      </c>
      <c r="N100" t="s">
        <v>25</v>
      </c>
      <c r="P100" s="11" t="s">
        <v>400</v>
      </c>
      <c r="Q100" s="12" t="s">
        <v>397</v>
      </c>
      <c r="R100" s="12" t="s">
        <v>397</v>
      </c>
      <c r="S100" s="12" t="b">
        <v>1</v>
      </c>
      <c r="T100" s="12">
        <v>0.94630000000000003</v>
      </c>
      <c r="U100" s="12">
        <v>117.50960000000001</v>
      </c>
      <c r="V100" s="12" t="s">
        <v>974</v>
      </c>
      <c r="W100" s="12" t="b">
        <v>1</v>
      </c>
      <c r="X100" s="12">
        <v>1</v>
      </c>
      <c r="Y100" s="13" t="b">
        <v>1</v>
      </c>
    </row>
    <row r="101" spans="1:25">
      <c r="A101" t="s">
        <v>401</v>
      </c>
      <c r="B101" t="s">
        <v>397</v>
      </c>
      <c r="C101" t="s">
        <v>402</v>
      </c>
      <c r="D101" t="s">
        <v>379</v>
      </c>
      <c r="E101" t="s">
        <v>379</v>
      </c>
      <c r="G101" t="s">
        <v>403</v>
      </c>
      <c r="L101" t="s">
        <v>372</v>
      </c>
      <c r="M101" t="s">
        <v>24</v>
      </c>
      <c r="N101" t="s">
        <v>25</v>
      </c>
      <c r="P101" s="11" t="s">
        <v>403</v>
      </c>
      <c r="Q101" s="12" t="s">
        <v>397</v>
      </c>
      <c r="R101" s="12" t="s">
        <v>397</v>
      </c>
      <c r="S101" s="12" t="b">
        <v>1</v>
      </c>
      <c r="T101" s="12">
        <v>0.91590000000000005</v>
      </c>
      <c r="U101" s="12">
        <v>96.580299999999994</v>
      </c>
      <c r="V101" s="12" t="s">
        <v>975</v>
      </c>
      <c r="W101" s="12" t="b">
        <v>1</v>
      </c>
      <c r="X101" s="12">
        <v>1</v>
      </c>
      <c r="Y101" s="13" t="b">
        <v>1</v>
      </c>
    </row>
    <row r="102" spans="1:25">
      <c r="A102" t="s">
        <v>404</v>
      </c>
      <c r="B102" t="s">
        <v>405</v>
      </c>
      <c r="C102" t="s">
        <v>406</v>
      </c>
      <c r="D102" t="s">
        <v>127</v>
      </c>
      <c r="E102" t="s">
        <v>127</v>
      </c>
      <c r="G102" t="s">
        <v>404</v>
      </c>
      <c r="L102" t="s">
        <v>372</v>
      </c>
      <c r="M102" t="s">
        <v>24</v>
      </c>
      <c r="N102" t="s">
        <v>25</v>
      </c>
      <c r="P102" s="11" t="s">
        <v>404</v>
      </c>
      <c r="Q102" s="12" t="s">
        <v>405</v>
      </c>
      <c r="R102" s="12" t="s">
        <v>405</v>
      </c>
      <c r="S102" s="12" t="b">
        <v>1</v>
      </c>
      <c r="T102" s="12">
        <v>1.0636000000000001</v>
      </c>
      <c r="U102" s="12">
        <v>250.0891</v>
      </c>
      <c r="V102" s="12" t="s">
        <v>976</v>
      </c>
      <c r="W102" s="12" t="b">
        <v>1</v>
      </c>
      <c r="X102" s="12">
        <v>1</v>
      </c>
      <c r="Y102" s="13" t="b">
        <v>1</v>
      </c>
    </row>
    <row r="103" spans="1:25">
      <c r="A103" t="s">
        <v>408</v>
      </c>
      <c r="B103" t="s">
        <v>405</v>
      </c>
      <c r="C103" t="s">
        <v>409</v>
      </c>
      <c r="D103" t="s">
        <v>379</v>
      </c>
      <c r="E103" t="s">
        <v>379</v>
      </c>
      <c r="G103" t="s">
        <v>408</v>
      </c>
      <c r="L103" t="s">
        <v>372</v>
      </c>
      <c r="M103" t="s">
        <v>24</v>
      </c>
      <c r="N103" t="s">
        <v>25</v>
      </c>
      <c r="P103" s="11" t="s">
        <v>408</v>
      </c>
      <c r="Q103" s="12" t="s">
        <v>405</v>
      </c>
      <c r="R103" s="12" t="s">
        <v>405</v>
      </c>
      <c r="S103" s="12" t="b">
        <v>1</v>
      </c>
      <c r="T103" s="12">
        <v>1.0656000000000001</v>
      </c>
      <c r="U103" s="12">
        <v>253.25309999999999</v>
      </c>
      <c r="V103" s="12" t="s">
        <v>977</v>
      </c>
      <c r="W103" s="12" t="b">
        <v>1</v>
      </c>
      <c r="X103" s="12">
        <v>1</v>
      </c>
      <c r="Y103" s="13" t="b">
        <v>1</v>
      </c>
    </row>
    <row r="104" spans="1:25">
      <c r="A104" t="s">
        <v>410</v>
      </c>
      <c r="B104" t="s">
        <v>595</v>
      </c>
      <c r="C104" t="s">
        <v>411</v>
      </c>
      <c r="D104" t="s">
        <v>127</v>
      </c>
      <c r="E104" t="s">
        <v>127</v>
      </c>
      <c r="G104" t="s">
        <v>412</v>
      </c>
      <c r="L104" t="s">
        <v>372</v>
      </c>
      <c r="M104" t="s">
        <v>24</v>
      </c>
      <c r="N104" t="s">
        <v>31</v>
      </c>
      <c r="P104" s="11" t="s">
        <v>412</v>
      </c>
      <c r="Q104" s="12" t="s">
        <v>595</v>
      </c>
      <c r="R104" s="12" t="s">
        <v>410</v>
      </c>
      <c r="S104" s="12" t="b">
        <v>0</v>
      </c>
      <c r="T104" s="12">
        <v>1.0622</v>
      </c>
      <c r="U104" s="12">
        <v>247.81610000000001</v>
      </c>
      <c r="V104" s="12" t="s">
        <v>978</v>
      </c>
      <c r="W104" s="12" t="b">
        <v>1</v>
      </c>
      <c r="X104" s="12">
        <v>13</v>
      </c>
      <c r="Y104" s="13" t="b">
        <v>1</v>
      </c>
    </row>
    <row r="105" spans="1:25">
      <c r="A105" t="s">
        <v>413</v>
      </c>
      <c r="B105" t="s">
        <v>331</v>
      </c>
      <c r="C105" t="s">
        <v>414</v>
      </c>
      <c r="D105" t="s">
        <v>127</v>
      </c>
      <c r="E105" t="s">
        <v>127</v>
      </c>
      <c r="G105" t="s">
        <v>415</v>
      </c>
      <c r="L105" t="s">
        <v>372</v>
      </c>
      <c r="M105" t="s">
        <v>24</v>
      </c>
      <c r="N105" t="s">
        <v>31</v>
      </c>
      <c r="P105" s="14" t="s">
        <v>415</v>
      </c>
      <c r="Q105" s="15" t="s">
        <v>331</v>
      </c>
      <c r="R105" s="15" t="s">
        <v>331</v>
      </c>
      <c r="S105" s="15" t="b">
        <v>1</v>
      </c>
      <c r="T105" s="15">
        <v>0.99270000000000003</v>
      </c>
      <c r="U105" s="15">
        <v>158.50139999999999</v>
      </c>
      <c r="V105" s="15" t="s">
        <v>979</v>
      </c>
      <c r="W105" s="15" t="b">
        <v>1</v>
      </c>
      <c r="X105" s="15">
        <v>1</v>
      </c>
      <c r="Y105" s="16" t="b">
        <v>1</v>
      </c>
    </row>
  </sheetData>
  <autoFilter ref="A9:AD105" xr:uid="{B1E9B1CA-06A7-454D-A371-00A93D42822A}"/>
  <mergeCells count="2">
    <mergeCell ref="A8:E8"/>
    <mergeCell ref="F8:L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F5F9-F8CA-436A-A9A6-0D7477AC4774}">
  <dimension ref="A1:AE105"/>
  <sheetViews>
    <sheetView topLeftCell="AB1" workbookViewId="0">
      <selection activeCell="Y21" sqref="Y21"/>
    </sheetView>
  </sheetViews>
  <sheetFormatPr defaultRowHeight="15"/>
  <cols>
    <col min="1" max="1" width="27.140625" customWidth="1"/>
    <col min="2" max="2" width="25.140625" customWidth="1"/>
    <col min="3" max="3" width="33.140625" customWidth="1"/>
    <col min="4" max="4" width="23.85546875" customWidth="1"/>
    <col min="5" max="5" width="16.42578125" customWidth="1"/>
    <col min="6" max="6" width="27.140625" customWidth="1"/>
    <col min="7" max="7" width="24.28515625" customWidth="1"/>
    <col min="8" max="8" width="15" customWidth="1"/>
    <col min="12" max="12" width="15" customWidth="1"/>
    <col min="13" max="13" width="16.42578125" customWidth="1"/>
    <col min="14" max="14" width="19.28515625" customWidth="1"/>
    <col min="17" max="17" width="28.85546875" customWidth="1"/>
    <col min="18" max="18" width="19.42578125" customWidth="1"/>
    <col min="19" max="19" width="20.28515625" customWidth="1"/>
    <col min="20" max="20" width="15.85546875" customWidth="1"/>
    <col min="23" max="23" width="22" customWidth="1"/>
    <col min="24" max="24" width="13.140625" customWidth="1"/>
    <col min="25" max="25" width="12.85546875" customWidth="1"/>
    <col min="26" max="26" width="13.5703125" customWidth="1"/>
    <col min="28" max="28" width="25" customWidth="1"/>
    <col min="29" max="29" width="14.7109375" customWidth="1"/>
    <col min="30" max="30" width="11.85546875" customWidth="1"/>
    <col min="31" max="31" width="16.42578125" customWidth="1"/>
    <col min="32" max="32" width="13" customWidth="1"/>
    <col min="33" max="33" width="12.28515625" customWidth="1"/>
    <col min="34" max="34" width="11.5703125" customWidth="1"/>
  </cols>
  <sheetData>
    <row r="1" spans="1:31" ht="70.5" customHeight="1">
      <c r="A1" s="17" t="s">
        <v>980</v>
      </c>
    </row>
    <row r="2" spans="1:31">
      <c r="E2" s="21"/>
      <c r="AB2" s="25" t="s">
        <v>981</v>
      </c>
      <c r="AC2" s="25" t="s">
        <v>982</v>
      </c>
      <c r="AD2" s="25" t="s">
        <v>983</v>
      </c>
      <c r="AE2" s="25" t="s">
        <v>984</v>
      </c>
    </row>
    <row r="3" spans="1:31">
      <c r="AB3" s="26" t="s">
        <v>25</v>
      </c>
      <c r="AC3" s="28">
        <f>COUNTIF($N$10:$N$105,"Company Match")</f>
        <v>50</v>
      </c>
      <c r="AD3" s="28">
        <f>COUNTIFS(N10:N150, AB3,Y10:Y150, "1")</f>
        <v>48</v>
      </c>
      <c r="AE3" s="29">
        <f>IF(AC3&gt;0, AD3/AC3, 0)</f>
        <v>0.96</v>
      </c>
    </row>
    <row r="4" spans="1:31">
      <c r="AB4" s="26" t="s">
        <v>31</v>
      </c>
      <c r="AC4" s="28">
        <f>COUNTIF($N$9:$N$150,"Security Match")</f>
        <v>31</v>
      </c>
      <c r="AD4" s="28">
        <f>COUNTIFS(N9:N150, AB4,Z9:Z150,TRUE)</f>
        <v>30</v>
      </c>
      <c r="AE4" s="29">
        <f>IF(AC4&gt;0, AD4/AC4, 0)</f>
        <v>0.967741935483871</v>
      </c>
    </row>
    <row r="5" spans="1:31">
      <c r="AB5" s="26" t="s">
        <v>49</v>
      </c>
      <c r="AC5" s="28">
        <f>COUNTIF($N$10:$N$105,"Company Knowledge Match")</f>
        <v>15</v>
      </c>
      <c r="AD5" s="28">
        <f>COUNTIFS(N10:N150, AB5,Y10:Y150,"1")</f>
        <v>6</v>
      </c>
      <c r="AE5" s="29">
        <f>IF(AC5&gt;0, AD5/AC5, 0)</f>
        <v>0.4</v>
      </c>
    </row>
    <row r="6" spans="1:31">
      <c r="AB6" s="27" t="s">
        <v>985</v>
      </c>
      <c r="AC6" s="30">
        <f>SUM(AC3:AC5)</f>
        <v>96</v>
      </c>
      <c r="AD6" s="30">
        <f>SUM(AD3:AD5)</f>
        <v>84</v>
      </c>
      <c r="AE6" s="31">
        <f>IF(AC6&gt;0, AD6/AC6, 0)</f>
        <v>0.875</v>
      </c>
    </row>
    <row r="8" spans="1:31">
      <c r="A8" s="46" t="s">
        <v>429</v>
      </c>
      <c r="B8" s="46"/>
      <c r="C8" s="46"/>
      <c r="D8" s="46"/>
      <c r="E8" s="46"/>
      <c r="F8" s="47" t="s">
        <v>430</v>
      </c>
      <c r="G8" s="47"/>
      <c r="H8" s="47"/>
      <c r="I8" s="47"/>
      <c r="J8" s="47"/>
      <c r="K8" s="47"/>
      <c r="L8" s="47"/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432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Q9" s="8" t="s">
        <v>698</v>
      </c>
      <c r="R9" s="9" t="s">
        <v>878</v>
      </c>
      <c r="S9" s="9" t="s">
        <v>879</v>
      </c>
      <c r="T9" s="9" t="s">
        <v>880</v>
      </c>
      <c r="U9" s="9" t="s">
        <v>701</v>
      </c>
      <c r="V9" s="9" t="s">
        <v>702</v>
      </c>
      <c r="W9" s="9" t="s">
        <v>881</v>
      </c>
      <c r="X9" s="9" t="s">
        <v>882</v>
      </c>
      <c r="Y9" s="9" t="s">
        <v>883</v>
      </c>
      <c r="Z9" s="10" t="s">
        <v>705</v>
      </c>
    </row>
    <row r="10" spans="1:31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16</v>
      </c>
      <c r="G10" t="s">
        <v>21</v>
      </c>
      <c r="H10" t="s">
        <v>22</v>
      </c>
      <c r="L10" t="s">
        <v>23</v>
      </c>
      <c r="M10" t="s">
        <v>24</v>
      </c>
      <c r="N10" t="s">
        <v>25</v>
      </c>
      <c r="Q10" s="11" t="s">
        <v>16</v>
      </c>
      <c r="R10" s="12" t="s">
        <v>17</v>
      </c>
      <c r="S10" s="12" t="s">
        <v>17</v>
      </c>
      <c r="T10" s="12" t="b">
        <v>1</v>
      </c>
      <c r="U10" s="12">
        <v>0.8659</v>
      </c>
      <c r="V10" s="12">
        <v>253.8485</v>
      </c>
      <c r="W10" s="12" t="s">
        <v>986</v>
      </c>
      <c r="X10" s="12" t="b">
        <v>1</v>
      </c>
      <c r="Y10" s="12">
        <v>1</v>
      </c>
      <c r="Z10" s="13" t="b">
        <v>1</v>
      </c>
    </row>
    <row r="11" spans="1:31">
      <c r="A11" t="s">
        <v>26</v>
      </c>
      <c r="B11" t="s">
        <v>27</v>
      </c>
      <c r="C11" t="s">
        <v>28</v>
      </c>
      <c r="D11" t="s">
        <v>19</v>
      </c>
      <c r="E11" t="s">
        <v>20</v>
      </c>
      <c r="F11" t="s">
        <v>29</v>
      </c>
      <c r="G11" t="s">
        <v>30</v>
      </c>
      <c r="L11" t="s">
        <v>23</v>
      </c>
      <c r="M11" t="s">
        <v>24</v>
      </c>
      <c r="N11" t="s">
        <v>31</v>
      </c>
      <c r="Q11" s="11" t="s">
        <v>29</v>
      </c>
      <c r="R11" s="12" t="s">
        <v>27</v>
      </c>
      <c r="S11" s="12" t="s">
        <v>27</v>
      </c>
      <c r="T11" s="12" t="b">
        <v>1</v>
      </c>
      <c r="U11" s="12">
        <v>0.97519999999999996</v>
      </c>
      <c r="V11" s="12">
        <v>511.78359999999998</v>
      </c>
      <c r="W11" s="12" t="s">
        <v>987</v>
      </c>
      <c r="X11" s="12" t="b">
        <v>1</v>
      </c>
      <c r="Y11" s="12">
        <v>1</v>
      </c>
      <c r="Z11" s="13" t="b">
        <v>1</v>
      </c>
    </row>
    <row r="12" spans="1:31">
      <c r="A12" t="s">
        <v>32</v>
      </c>
      <c r="B12" t="s">
        <v>33</v>
      </c>
      <c r="C12" t="s">
        <v>34</v>
      </c>
      <c r="D12" t="s">
        <v>19</v>
      </c>
      <c r="E12" t="s">
        <v>20</v>
      </c>
      <c r="F12" t="s">
        <v>32</v>
      </c>
      <c r="G12" t="s">
        <v>35</v>
      </c>
      <c r="H12" t="s">
        <v>22</v>
      </c>
      <c r="I12" t="s">
        <v>36</v>
      </c>
      <c r="L12" t="s">
        <v>23</v>
      </c>
      <c r="M12" t="s">
        <v>24</v>
      </c>
      <c r="N12" t="s">
        <v>31</v>
      </c>
      <c r="Q12" s="11" t="s">
        <v>32</v>
      </c>
      <c r="R12" s="12" t="s">
        <v>33</v>
      </c>
      <c r="S12" s="12" t="s">
        <v>33</v>
      </c>
      <c r="T12" s="12" t="b">
        <v>1</v>
      </c>
      <c r="U12" s="12">
        <v>0.8841</v>
      </c>
      <c r="V12" s="12">
        <v>285.2362</v>
      </c>
      <c r="W12" s="12" t="s">
        <v>988</v>
      </c>
      <c r="X12" s="12" t="b">
        <v>1</v>
      </c>
      <c r="Y12" s="12">
        <v>1</v>
      </c>
      <c r="Z12" s="13" t="b">
        <v>1</v>
      </c>
    </row>
    <row r="13" spans="1:31">
      <c r="A13" t="s">
        <v>37</v>
      </c>
      <c r="B13" t="s">
        <v>38</v>
      </c>
      <c r="C13" t="s">
        <v>39</v>
      </c>
      <c r="D13" t="s">
        <v>19</v>
      </c>
      <c r="E13" t="s">
        <v>20</v>
      </c>
      <c r="F13" t="s">
        <v>37</v>
      </c>
      <c r="G13" t="s">
        <v>40</v>
      </c>
      <c r="H13" t="s">
        <v>22</v>
      </c>
      <c r="L13" t="s">
        <v>23</v>
      </c>
      <c r="M13" t="s">
        <v>24</v>
      </c>
      <c r="N13" t="s">
        <v>31</v>
      </c>
      <c r="Q13" s="11" t="s">
        <v>37</v>
      </c>
      <c r="R13" s="12" t="s">
        <v>38</v>
      </c>
      <c r="S13" s="12" t="s">
        <v>38</v>
      </c>
      <c r="T13" s="12" t="b">
        <v>1</v>
      </c>
      <c r="U13" s="12">
        <v>1</v>
      </c>
      <c r="V13" s="12">
        <v>621.35299999999995</v>
      </c>
      <c r="W13" s="12" t="s">
        <v>989</v>
      </c>
      <c r="X13" s="12" t="b">
        <v>1</v>
      </c>
      <c r="Y13" s="12">
        <v>1</v>
      </c>
      <c r="Z13" s="13" t="b">
        <v>1</v>
      </c>
    </row>
    <row r="14" spans="1:31">
      <c r="A14" t="s">
        <v>41</v>
      </c>
      <c r="B14" t="s">
        <v>42</v>
      </c>
      <c r="C14" t="s">
        <v>43</v>
      </c>
      <c r="D14" t="s">
        <v>44</v>
      </c>
      <c r="E14" t="s">
        <v>20</v>
      </c>
      <c r="F14" t="s">
        <v>45</v>
      </c>
      <c r="G14" t="s">
        <v>46</v>
      </c>
      <c r="H14" t="s">
        <v>47</v>
      </c>
      <c r="I14" t="s">
        <v>48</v>
      </c>
      <c r="L14" t="s">
        <v>23</v>
      </c>
      <c r="M14" t="s">
        <v>24</v>
      </c>
      <c r="N14" t="s">
        <v>49</v>
      </c>
      <c r="Q14" s="11" t="s">
        <v>45</v>
      </c>
      <c r="R14" s="12" t="s">
        <v>42</v>
      </c>
      <c r="S14" s="12" t="s">
        <v>42</v>
      </c>
      <c r="T14" s="12" t="b">
        <v>1</v>
      </c>
      <c r="U14" s="12">
        <v>0.87119999999999997</v>
      </c>
      <c r="V14" s="12">
        <v>262.65129999999999</v>
      </c>
      <c r="W14" s="12" t="s">
        <v>42</v>
      </c>
      <c r="X14" s="12" t="b">
        <v>1</v>
      </c>
      <c r="Y14" s="12">
        <v>1</v>
      </c>
      <c r="Z14" s="13" t="b">
        <v>1</v>
      </c>
    </row>
    <row r="15" spans="1:31">
      <c r="A15" t="s">
        <v>41</v>
      </c>
      <c r="B15" t="s">
        <v>42</v>
      </c>
      <c r="C15" t="s">
        <v>50</v>
      </c>
      <c r="D15" t="s">
        <v>19</v>
      </c>
      <c r="E15" t="s">
        <v>20</v>
      </c>
      <c r="F15" t="s">
        <v>45</v>
      </c>
      <c r="G15" t="s">
        <v>51</v>
      </c>
      <c r="H15" t="s">
        <v>22</v>
      </c>
      <c r="I15" t="s">
        <v>52</v>
      </c>
      <c r="L15" t="s">
        <v>23</v>
      </c>
      <c r="M15" t="s">
        <v>24</v>
      </c>
      <c r="N15" t="s">
        <v>49</v>
      </c>
      <c r="Q15" s="11" t="s">
        <v>45</v>
      </c>
      <c r="R15" s="12" t="s">
        <v>42</v>
      </c>
      <c r="S15" s="12" t="s">
        <v>42</v>
      </c>
      <c r="T15" s="12" t="b">
        <v>1</v>
      </c>
      <c r="U15" s="12">
        <v>0.87119999999999997</v>
      </c>
      <c r="V15" s="12">
        <v>262.65129999999999</v>
      </c>
      <c r="W15" s="12" t="s">
        <v>42</v>
      </c>
      <c r="X15" s="12" t="b">
        <v>1</v>
      </c>
      <c r="Y15" s="12">
        <v>1</v>
      </c>
      <c r="Z15" s="13" t="b">
        <v>1</v>
      </c>
    </row>
    <row r="16" spans="1:31">
      <c r="A16" t="s">
        <v>53</v>
      </c>
      <c r="B16" t="s">
        <v>54</v>
      </c>
      <c r="C16" t="s">
        <v>55</v>
      </c>
      <c r="D16" t="s">
        <v>19</v>
      </c>
      <c r="E16" t="s">
        <v>20</v>
      </c>
      <c r="F16" t="s">
        <v>53</v>
      </c>
      <c r="G16" t="s">
        <v>56</v>
      </c>
      <c r="H16" t="s">
        <v>22</v>
      </c>
      <c r="I16" t="s">
        <v>57</v>
      </c>
      <c r="L16" t="s">
        <v>23</v>
      </c>
      <c r="M16" t="s">
        <v>24</v>
      </c>
      <c r="N16" t="s">
        <v>25</v>
      </c>
      <c r="Q16" s="11" t="s">
        <v>53</v>
      </c>
      <c r="R16" s="12" t="s">
        <v>54</v>
      </c>
      <c r="S16" s="12" t="s">
        <v>54</v>
      </c>
      <c r="T16" s="12" t="b">
        <v>1</v>
      </c>
      <c r="U16" s="12">
        <v>0.95279999999999998</v>
      </c>
      <c r="V16" s="12">
        <v>443.35820000000001</v>
      </c>
      <c r="W16" s="12" t="s">
        <v>990</v>
      </c>
      <c r="X16" s="12" t="b">
        <v>1</v>
      </c>
      <c r="Y16" s="12">
        <v>1</v>
      </c>
      <c r="Z16" s="13" t="b">
        <v>1</v>
      </c>
    </row>
    <row r="17" spans="1:26">
      <c r="A17" t="s">
        <v>58</v>
      </c>
      <c r="B17" t="s">
        <v>59</v>
      </c>
      <c r="C17" t="s">
        <v>60</v>
      </c>
      <c r="D17" t="s">
        <v>44</v>
      </c>
      <c r="E17" t="s">
        <v>20</v>
      </c>
      <c r="F17" t="s">
        <v>61</v>
      </c>
      <c r="G17" t="s">
        <v>62</v>
      </c>
      <c r="H17" t="s">
        <v>47</v>
      </c>
      <c r="L17" t="s">
        <v>23</v>
      </c>
      <c r="M17" t="s">
        <v>24</v>
      </c>
      <c r="N17" t="s">
        <v>25</v>
      </c>
      <c r="Q17" s="11" t="s">
        <v>61</v>
      </c>
      <c r="R17" s="12" t="s">
        <v>59</v>
      </c>
      <c r="S17" s="12" t="s">
        <v>59</v>
      </c>
      <c r="T17" s="12" t="b">
        <v>1</v>
      </c>
      <c r="U17" s="12">
        <v>0.84960000000000002</v>
      </c>
      <c r="V17" s="12">
        <v>228.5147</v>
      </c>
      <c r="W17" s="12" t="s">
        <v>59</v>
      </c>
      <c r="X17" s="12" t="b">
        <v>1</v>
      </c>
      <c r="Y17" s="12">
        <v>1</v>
      </c>
      <c r="Z17" s="13" t="b">
        <v>1</v>
      </c>
    </row>
    <row r="18" spans="1:26">
      <c r="A18" t="s">
        <v>63</v>
      </c>
      <c r="B18" t="s">
        <v>64</v>
      </c>
      <c r="C18" t="s">
        <v>65</v>
      </c>
      <c r="D18" t="s">
        <v>19</v>
      </c>
      <c r="E18" t="s">
        <v>20</v>
      </c>
      <c r="F18" t="s">
        <v>66</v>
      </c>
      <c r="G18" t="s">
        <v>67</v>
      </c>
      <c r="H18" t="s">
        <v>22</v>
      </c>
      <c r="L18" t="s">
        <v>23</v>
      </c>
      <c r="M18" t="s">
        <v>24</v>
      </c>
      <c r="N18" t="s">
        <v>31</v>
      </c>
      <c r="Q18" s="11" t="s">
        <v>66</v>
      </c>
      <c r="R18" s="12" t="s">
        <v>64</v>
      </c>
      <c r="S18" s="12" t="s">
        <v>64</v>
      </c>
      <c r="T18" s="12" t="b">
        <v>1</v>
      </c>
      <c r="U18" s="12">
        <v>0.98309999999999997</v>
      </c>
      <c r="V18" s="12">
        <v>538.23149999999998</v>
      </c>
      <c r="W18" s="12" t="s">
        <v>64</v>
      </c>
      <c r="X18" s="12" t="b">
        <v>1</v>
      </c>
      <c r="Y18" s="12">
        <v>1</v>
      </c>
      <c r="Z18" s="13" t="b">
        <v>1</v>
      </c>
    </row>
    <row r="19" spans="1:26">
      <c r="A19" t="s">
        <v>68</v>
      </c>
      <c r="B19" t="s">
        <v>69</v>
      </c>
      <c r="C19" t="s">
        <v>70</v>
      </c>
      <c r="D19" t="s">
        <v>19</v>
      </c>
      <c r="E19" t="s">
        <v>20</v>
      </c>
      <c r="F19" t="s">
        <v>71</v>
      </c>
      <c r="G19" t="s">
        <v>72</v>
      </c>
      <c r="H19" t="s">
        <v>22</v>
      </c>
      <c r="I19" t="s">
        <v>73</v>
      </c>
      <c r="L19" t="s">
        <v>23</v>
      </c>
      <c r="M19" t="s">
        <v>24</v>
      </c>
      <c r="N19" t="s">
        <v>25</v>
      </c>
      <c r="Q19" s="11" t="s">
        <v>71</v>
      </c>
      <c r="R19" s="12" t="s">
        <v>69</v>
      </c>
      <c r="S19" s="12" t="s">
        <v>69</v>
      </c>
      <c r="T19" s="12" t="b">
        <v>1</v>
      </c>
      <c r="U19" s="12">
        <v>0.91339999999999999</v>
      </c>
      <c r="V19" s="12">
        <v>344.2799</v>
      </c>
      <c r="W19" s="12" t="s">
        <v>991</v>
      </c>
      <c r="X19" s="12" t="b">
        <v>1</v>
      </c>
      <c r="Y19" s="12">
        <v>1</v>
      </c>
      <c r="Z19" s="13" t="b">
        <v>1</v>
      </c>
    </row>
    <row r="20" spans="1:26">
      <c r="A20" t="s">
        <v>68</v>
      </c>
      <c r="B20" t="s">
        <v>69</v>
      </c>
      <c r="C20" t="s">
        <v>70</v>
      </c>
      <c r="D20" t="s">
        <v>19</v>
      </c>
      <c r="E20" t="s">
        <v>20</v>
      </c>
      <c r="F20" t="s">
        <v>74</v>
      </c>
      <c r="G20" t="s">
        <v>75</v>
      </c>
      <c r="H20" t="s">
        <v>22</v>
      </c>
      <c r="I20" t="s">
        <v>73</v>
      </c>
      <c r="L20" t="s">
        <v>23</v>
      </c>
      <c r="M20" t="s">
        <v>24</v>
      </c>
      <c r="N20" t="s">
        <v>31</v>
      </c>
      <c r="Q20" s="11" t="s">
        <v>74</v>
      </c>
      <c r="R20" s="12" t="s">
        <v>69</v>
      </c>
      <c r="S20" s="12" t="s">
        <v>69</v>
      </c>
      <c r="T20" s="12" t="b">
        <v>1</v>
      </c>
      <c r="U20" s="12">
        <v>0.84989999999999999</v>
      </c>
      <c r="V20" s="12">
        <v>229.05699999999999</v>
      </c>
      <c r="W20" s="12" t="s">
        <v>992</v>
      </c>
      <c r="X20" s="12" t="b">
        <v>1</v>
      </c>
      <c r="Y20" s="12">
        <v>1</v>
      </c>
      <c r="Z20" s="13" t="b">
        <v>1</v>
      </c>
    </row>
    <row r="21" spans="1:26">
      <c r="A21" t="s">
        <v>76</v>
      </c>
      <c r="B21" t="s">
        <v>77</v>
      </c>
      <c r="C21" t="s">
        <v>78</v>
      </c>
      <c r="D21" t="s">
        <v>79</v>
      </c>
      <c r="E21" t="s">
        <v>20</v>
      </c>
      <c r="F21" t="s">
        <v>80</v>
      </c>
      <c r="G21" t="s">
        <v>81</v>
      </c>
      <c r="H21" t="s">
        <v>82</v>
      </c>
      <c r="L21" t="s">
        <v>23</v>
      </c>
      <c r="M21" t="s">
        <v>24</v>
      </c>
      <c r="N21" t="s">
        <v>31</v>
      </c>
      <c r="Q21" s="11" t="s">
        <v>80</v>
      </c>
      <c r="R21" s="12" t="s">
        <v>77</v>
      </c>
      <c r="S21" s="12" t="s">
        <v>77</v>
      </c>
      <c r="T21" s="12" t="b">
        <v>1</v>
      </c>
      <c r="U21" s="12">
        <v>1</v>
      </c>
      <c r="V21" s="12">
        <v>722.24159999999995</v>
      </c>
      <c r="W21" s="12" t="s">
        <v>77</v>
      </c>
      <c r="X21" s="12" t="b">
        <v>1</v>
      </c>
      <c r="Y21" s="12">
        <v>1</v>
      </c>
      <c r="Z21" s="13" t="b">
        <v>1</v>
      </c>
    </row>
    <row r="22" spans="1:26">
      <c r="A22" t="s">
        <v>83</v>
      </c>
      <c r="B22" t="s">
        <v>84</v>
      </c>
      <c r="C22" t="s">
        <v>85</v>
      </c>
      <c r="D22" t="s">
        <v>79</v>
      </c>
      <c r="E22" t="s">
        <v>20</v>
      </c>
      <c r="F22" t="s">
        <v>86</v>
      </c>
      <c r="G22" t="s">
        <v>87</v>
      </c>
      <c r="H22" t="s">
        <v>82</v>
      </c>
      <c r="L22" t="s">
        <v>23</v>
      </c>
      <c r="M22" t="s">
        <v>24</v>
      </c>
      <c r="N22" t="s">
        <v>25</v>
      </c>
      <c r="Q22" s="11" t="s">
        <v>86</v>
      </c>
      <c r="R22" s="12" t="s">
        <v>84</v>
      </c>
      <c r="S22" s="12" t="s">
        <v>84</v>
      </c>
      <c r="T22" s="12" t="b">
        <v>1</v>
      </c>
      <c r="U22" s="12">
        <v>0.89270000000000005</v>
      </c>
      <c r="V22" s="12">
        <v>301.5455</v>
      </c>
      <c r="W22" s="12" t="s">
        <v>993</v>
      </c>
      <c r="X22" s="12" t="b">
        <v>1</v>
      </c>
      <c r="Y22" s="12">
        <v>1</v>
      </c>
      <c r="Z22" s="13" t="b">
        <v>1</v>
      </c>
    </row>
    <row r="23" spans="1:26">
      <c r="A23" t="s">
        <v>88</v>
      </c>
      <c r="B23" t="s">
        <v>89</v>
      </c>
      <c r="C23" t="s">
        <v>90</v>
      </c>
      <c r="D23" t="s">
        <v>19</v>
      </c>
      <c r="E23" t="s">
        <v>20</v>
      </c>
      <c r="F23" t="s">
        <v>91</v>
      </c>
      <c r="G23" t="s">
        <v>92</v>
      </c>
      <c r="H23" t="s">
        <v>22</v>
      </c>
      <c r="I23" t="s">
        <v>93</v>
      </c>
      <c r="L23" t="s">
        <v>23</v>
      </c>
      <c r="M23" t="s">
        <v>24</v>
      </c>
      <c r="N23" t="s">
        <v>31</v>
      </c>
      <c r="Q23" s="11" t="s">
        <v>91</v>
      </c>
      <c r="R23" s="12" t="s">
        <v>89</v>
      </c>
      <c r="S23" s="12" t="s">
        <v>89</v>
      </c>
      <c r="T23" s="12" t="b">
        <v>1</v>
      </c>
      <c r="U23" s="12">
        <v>1</v>
      </c>
      <c r="V23" s="12">
        <v>849.78380000000004</v>
      </c>
      <c r="W23" s="12" t="s">
        <v>994</v>
      </c>
      <c r="X23" s="12" t="b">
        <v>1</v>
      </c>
      <c r="Y23" s="12">
        <v>1</v>
      </c>
      <c r="Z23" s="13" t="b">
        <v>1</v>
      </c>
    </row>
    <row r="24" spans="1:26">
      <c r="A24" t="s">
        <v>94</v>
      </c>
      <c r="B24" t="s">
        <v>95</v>
      </c>
      <c r="C24" t="s">
        <v>96</v>
      </c>
      <c r="D24" t="s">
        <v>44</v>
      </c>
      <c r="E24" t="s">
        <v>20</v>
      </c>
      <c r="F24" t="s">
        <v>94</v>
      </c>
      <c r="G24" t="s">
        <v>97</v>
      </c>
      <c r="H24" t="s">
        <v>47</v>
      </c>
      <c r="I24" t="s">
        <v>98</v>
      </c>
      <c r="L24" t="s">
        <v>23</v>
      </c>
      <c r="M24" t="s">
        <v>24</v>
      </c>
      <c r="N24" t="s">
        <v>25</v>
      </c>
      <c r="Q24" s="11" t="s">
        <v>94</v>
      </c>
      <c r="R24" s="12" t="s">
        <v>95</v>
      </c>
      <c r="S24" s="12" t="s">
        <v>95</v>
      </c>
      <c r="T24" s="12" t="b">
        <v>1</v>
      </c>
      <c r="U24" s="12">
        <v>0.92549999999999999</v>
      </c>
      <c r="V24" s="12">
        <v>372.11250000000001</v>
      </c>
      <c r="W24" s="12" t="s">
        <v>995</v>
      </c>
      <c r="X24" s="12" t="b">
        <v>1</v>
      </c>
      <c r="Y24" s="12">
        <v>1</v>
      </c>
      <c r="Z24" s="13" t="b">
        <v>1</v>
      </c>
    </row>
    <row r="25" spans="1:26">
      <c r="A25" t="s">
        <v>99</v>
      </c>
      <c r="B25" t="s">
        <v>100</v>
      </c>
      <c r="C25" t="s">
        <v>101</v>
      </c>
      <c r="D25" t="s">
        <v>44</v>
      </c>
      <c r="E25" t="s">
        <v>20</v>
      </c>
      <c r="F25" t="s">
        <v>102</v>
      </c>
      <c r="G25" t="s">
        <v>103</v>
      </c>
      <c r="H25" t="s">
        <v>47</v>
      </c>
      <c r="I25" t="s">
        <v>104</v>
      </c>
      <c r="L25" t="s">
        <v>23</v>
      </c>
      <c r="M25" t="s">
        <v>24</v>
      </c>
      <c r="N25" t="s">
        <v>31</v>
      </c>
      <c r="Q25" s="11" t="s">
        <v>102</v>
      </c>
      <c r="R25" s="12" t="s">
        <v>100</v>
      </c>
      <c r="S25" s="12" t="s">
        <v>100</v>
      </c>
      <c r="T25" s="12" t="b">
        <v>1</v>
      </c>
      <c r="U25" s="12">
        <v>1</v>
      </c>
      <c r="V25" s="12">
        <v>606.16250000000002</v>
      </c>
      <c r="W25" s="12" t="s">
        <v>996</v>
      </c>
      <c r="X25" s="12" t="b">
        <v>1</v>
      </c>
      <c r="Y25" s="12">
        <v>1</v>
      </c>
      <c r="Z25" s="13" t="b">
        <v>1</v>
      </c>
    </row>
    <row r="26" spans="1:26">
      <c r="A26" t="s">
        <v>105</v>
      </c>
      <c r="B26" t="s">
        <v>106</v>
      </c>
      <c r="C26" t="s">
        <v>107</v>
      </c>
      <c r="D26" t="s">
        <v>19</v>
      </c>
      <c r="E26" t="s">
        <v>20</v>
      </c>
      <c r="F26" t="s">
        <v>108</v>
      </c>
      <c r="G26" t="s">
        <v>109</v>
      </c>
      <c r="H26" t="s">
        <v>22</v>
      </c>
      <c r="I26" t="s">
        <v>110</v>
      </c>
      <c r="L26" t="s">
        <v>23</v>
      </c>
      <c r="M26" t="s">
        <v>24</v>
      </c>
      <c r="N26" t="s">
        <v>25</v>
      </c>
      <c r="Q26" s="11" t="s">
        <v>108</v>
      </c>
      <c r="R26" s="12" t="s">
        <v>106</v>
      </c>
      <c r="S26" s="12" t="s">
        <v>106</v>
      </c>
      <c r="T26" s="12" t="b">
        <v>1</v>
      </c>
      <c r="U26" s="12">
        <v>0.92320000000000002</v>
      </c>
      <c r="V26" s="12">
        <v>366.77789999999999</v>
      </c>
      <c r="W26" s="12" t="s">
        <v>997</v>
      </c>
      <c r="X26" s="12" t="b">
        <v>1</v>
      </c>
      <c r="Y26" s="12">
        <v>1</v>
      </c>
      <c r="Z26" s="13" t="b">
        <v>1</v>
      </c>
    </row>
    <row r="27" spans="1:26">
      <c r="A27" t="s">
        <v>111</v>
      </c>
      <c r="B27" t="s">
        <v>112</v>
      </c>
      <c r="C27" t="s">
        <v>113</v>
      </c>
      <c r="D27" t="s">
        <v>19</v>
      </c>
      <c r="E27" t="s">
        <v>20</v>
      </c>
      <c r="F27" t="s">
        <v>111</v>
      </c>
      <c r="G27" t="s">
        <v>114</v>
      </c>
      <c r="H27" t="s">
        <v>22</v>
      </c>
      <c r="L27" t="s">
        <v>23</v>
      </c>
      <c r="M27" t="s">
        <v>24</v>
      </c>
      <c r="N27" t="s">
        <v>25</v>
      </c>
      <c r="Q27" s="11" t="s">
        <v>111</v>
      </c>
      <c r="R27" s="12" t="s">
        <v>112</v>
      </c>
      <c r="S27" s="12" t="s">
        <v>112</v>
      </c>
      <c r="T27" s="12" t="b">
        <v>1</v>
      </c>
      <c r="U27" s="12">
        <v>0.95889999999999997</v>
      </c>
      <c r="V27" s="12">
        <v>460.87709999999998</v>
      </c>
      <c r="W27" s="12" t="s">
        <v>998</v>
      </c>
      <c r="X27" s="12" t="b">
        <v>1</v>
      </c>
      <c r="Y27" s="12">
        <v>1</v>
      </c>
      <c r="Z27" s="13" t="b">
        <v>1</v>
      </c>
    </row>
    <row r="28" spans="1:26">
      <c r="A28" t="s">
        <v>115</v>
      </c>
      <c r="B28" t="s">
        <v>116</v>
      </c>
      <c r="C28" t="s">
        <v>117</v>
      </c>
      <c r="D28" t="s">
        <v>19</v>
      </c>
      <c r="E28" t="s">
        <v>20</v>
      </c>
      <c r="F28" t="s">
        <v>118</v>
      </c>
      <c r="G28" t="s">
        <v>119</v>
      </c>
      <c r="H28" t="s">
        <v>22</v>
      </c>
      <c r="I28" t="s">
        <v>120</v>
      </c>
      <c r="L28" t="s">
        <v>23</v>
      </c>
      <c r="M28" t="s">
        <v>24</v>
      </c>
      <c r="N28" t="s">
        <v>25</v>
      </c>
      <c r="Q28" s="11" t="s">
        <v>118</v>
      </c>
      <c r="R28" s="12" t="s">
        <v>116</v>
      </c>
      <c r="S28" s="12" t="s">
        <v>116</v>
      </c>
      <c r="T28" s="12" t="b">
        <v>1</v>
      </c>
      <c r="U28" s="12">
        <v>0.82489999999999997</v>
      </c>
      <c r="V28" s="12">
        <v>194.9992</v>
      </c>
      <c r="W28" s="12" t="s">
        <v>116</v>
      </c>
      <c r="X28" s="12" t="b">
        <v>1</v>
      </c>
      <c r="Y28" s="12">
        <v>1</v>
      </c>
      <c r="Z28" s="13" t="b">
        <v>1</v>
      </c>
    </row>
    <row r="29" spans="1:26">
      <c r="A29" t="s">
        <v>115</v>
      </c>
      <c r="B29" t="s">
        <v>116</v>
      </c>
      <c r="C29" t="s">
        <v>117</v>
      </c>
      <c r="D29" t="s">
        <v>19</v>
      </c>
      <c r="E29" t="s">
        <v>20</v>
      </c>
      <c r="F29" t="s">
        <v>121</v>
      </c>
      <c r="G29" t="s">
        <v>122</v>
      </c>
      <c r="H29" t="s">
        <v>22</v>
      </c>
      <c r="I29" t="s">
        <v>123</v>
      </c>
      <c r="L29" t="s">
        <v>23</v>
      </c>
      <c r="M29" t="s">
        <v>24</v>
      </c>
      <c r="N29" t="s">
        <v>31</v>
      </c>
      <c r="Q29" s="11" t="s">
        <v>121</v>
      </c>
      <c r="R29" s="12" t="s">
        <v>116</v>
      </c>
      <c r="S29" s="12" t="s">
        <v>116</v>
      </c>
      <c r="T29" s="12" t="b">
        <v>1</v>
      </c>
      <c r="U29" s="12">
        <v>0.99750000000000005</v>
      </c>
      <c r="V29" s="12">
        <v>590.34550000000002</v>
      </c>
      <c r="W29" s="12" t="s">
        <v>116</v>
      </c>
      <c r="X29" s="12" t="b">
        <v>1</v>
      </c>
      <c r="Y29" s="12">
        <v>1</v>
      </c>
      <c r="Z29" s="13" t="b">
        <v>1</v>
      </c>
    </row>
    <row r="30" spans="1:26">
      <c r="A30" t="s">
        <v>124</v>
      </c>
      <c r="B30" t="s">
        <v>125</v>
      </c>
      <c r="C30" t="s">
        <v>126</v>
      </c>
      <c r="D30" t="s">
        <v>127</v>
      </c>
      <c r="E30" t="s">
        <v>127</v>
      </c>
      <c r="F30" t="s">
        <v>128</v>
      </c>
      <c r="G30" t="s">
        <v>128</v>
      </c>
      <c r="L30" t="s">
        <v>23</v>
      </c>
      <c r="M30" t="s">
        <v>24</v>
      </c>
      <c r="N30" t="s">
        <v>31</v>
      </c>
      <c r="Q30" s="11" t="s">
        <v>128</v>
      </c>
      <c r="R30" s="12" t="s">
        <v>125</v>
      </c>
      <c r="S30" s="12" t="s">
        <v>125</v>
      </c>
      <c r="T30" s="12" t="b">
        <v>1</v>
      </c>
      <c r="U30" s="12">
        <v>0.77990000000000004</v>
      </c>
      <c r="V30" s="12">
        <v>146.00800000000001</v>
      </c>
      <c r="W30" s="12" t="s">
        <v>999</v>
      </c>
      <c r="X30" s="12" t="b">
        <v>1</v>
      </c>
      <c r="Y30" s="12">
        <v>1</v>
      </c>
      <c r="Z30" s="13" t="b">
        <v>1</v>
      </c>
    </row>
    <row r="31" spans="1:26">
      <c r="A31" t="s">
        <v>129</v>
      </c>
      <c r="B31" t="s">
        <v>130</v>
      </c>
      <c r="C31" t="s">
        <v>131</v>
      </c>
      <c r="D31" t="s">
        <v>127</v>
      </c>
      <c r="E31" t="s">
        <v>127</v>
      </c>
      <c r="F31" t="s">
        <v>132</v>
      </c>
      <c r="G31" t="s">
        <v>133</v>
      </c>
      <c r="L31" t="s">
        <v>23</v>
      </c>
      <c r="M31" t="s">
        <v>24</v>
      </c>
      <c r="N31" t="s">
        <v>31</v>
      </c>
      <c r="Q31" s="11" t="s">
        <v>132</v>
      </c>
      <c r="R31" s="12" t="s">
        <v>130</v>
      </c>
      <c r="S31" s="12" t="s">
        <v>130</v>
      </c>
      <c r="T31" s="12" t="b">
        <v>1</v>
      </c>
      <c r="U31" s="12">
        <v>1</v>
      </c>
      <c r="V31" s="12">
        <v>963.80119999999999</v>
      </c>
      <c r="W31" s="12" t="s">
        <v>130</v>
      </c>
      <c r="X31" s="12" t="b">
        <v>1</v>
      </c>
      <c r="Y31" s="12">
        <v>1</v>
      </c>
      <c r="Z31" s="13" t="b">
        <v>1</v>
      </c>
    </row>
    <row r="32" spans="1:26">
      <c r="A32" t="s">
        <v>134</v>
      </c>
      <c r="B32" t="s">
        <v>135</v>
      </c>
      <c r="C32" t="s">
        <v>136</v>
      </c>
      <c r="D32" t="s">
        <v>19</v>
      </c>
      <c r="E32" t="s">
        <v>20</v>
      </c>
      <c r="F32" t="s">
        <v>134</v>
      </c>
      <c r="G32" t="s">
        <v>137</v>
      </c>
      <c r="H32" t="s">
        <v>22</v>
      </c>
      <c r="L32" t="s">
        <v>23</v>
      </c>
      <c r="M32" t="s">
        <v>24</v>
      </c>
      <c r="N32" t="s">
        <v>25</v>
      </c>
      <c r="Q32" s="11" t="s">
        <v>134</v>
      </c>
      <c r="R32" s="12" t="s">
        <v>135</v>
      </c>
      <c r="S32" s="12" t="s">
        <v>135</v>
      </c>
      <c r="T32" s="12" t="b">
        <v>1</v>
      </c>
      <c r="U32" s="12">
        <v>0.98199999999999998</v>
      </c>
      <c r="V32" s="12">
        <v>534.77819999999997</v>
      </c>
      <c r="W32" s="12" t="s">
        <v>135</v>
      </c>
      <c r="X32" s="12" t="b">
        <v>1</v>
      </c>
      <c r="Y32" s="12">
        <v>1</v>
      </c>
      <c r="Z32" s="13" t="b">
        <v>1</v>
      </c>
    </row>
    <row r="33" spans="1:26">
      <c r="A33" t="s">
        <v>138</v>
      </c>
      <c r="B33" t="s">
        <v>84</v>
      </c>
      <c r="C33" t="s">
        <v>139</v>
      </c>
      <c r="D33" t="s">
        <v>19</v>
      </c>
      <c r="E33" t="s">
        <v>20</v>
      </c>
      <c r="F33" t="s">
        <v>86</v>
      </c>
      <c r="G33" t="s">
        <v>140</v>
      </c>
      <c r="H33" t="s">
        <v>22</v>
      </c>
      <c r="I33" t="s">
        <v>141</v>
      </c>
      <c r="L33" t="s">
        <v>23</v>
      </c>
      <c r="M33" t="s">
        <v>24</v>
      </c>
      <c r="N33" t="s">
        <v>25</v>
      </c>
      <c r="Q33" s="11" t="s">
        <v>86</v>
      </c>
      <c r="R33" s="12" t="s">
        <v>84</v>
      </c>
      <c r="S33" s="12" t="s">
        <v>84</v>
      </c>
      <c r="T33" s="12" t="b">
        <v>1</v>
      </c>
      <c r="U33" s="12">
        <v>0.89270000000000005</v>
      </c>
      <c r="V33" s="12">
        <v>301.5455</v>
      </c>
      <c r="W33" s="12" t="s">
        <v>993</v>
      </c>
      <c r="X33" s="12" t="b">
        <v>1</v>
      </c>
      <c r="Y33" s="12">
        <v>1</v>
      </c>
      <c r="Z33" s="13" t="b">
        <v>1</v>
      </c>
    </row>
    <row r="34" spans="1:26">
      <c r="A34" t="s">
        <v>142</v>
      </c>
      <c r="B34" t="s">
        <v>143</v>
      </c>
      <c r="C34" t="s">
        <v>144</v>
      </c>
      <c r="D34" t="s">
        <v>19</v>
      </c>
      <c r="E34" t="s">
        <v>20</v>
      </c>
      <c r="F34" t="s">
        <v>145</v>
      </c>
      <c r="G34" t="s">
        <v>146</v>
      </c>
      <c r="H34" t="s">
        <v>22</v>
      </c>
      <c r="L34" t="s">
        <v>23</v>
      </c>
      <c r="M34" t="s">
        <v>24</v>
      </c>
      <c r="N34" t="s">
        <v>25</v>
      </c>
      <c r="Q34" s="11" t="s">
        <v>145</v>
      </c>
      <c r="R34" s="12" t="s">
        <v>143</v>
      </c>
      <c r="S34" s="12" t="s">
        <v>143</v>
      </c>
      <c r="T34" s="12" t="b">
        <v>1</v>
      </c>
      <c r="U34" s="12">
        <v>0.91790000000000005</v>
      </c>
      <c r="V34" s="12">
        <v>354.31740000000002</v>
      </c>
      <c r="W34" s="12" t="s">
        <v>143</v>
      </c>
      <c r="X34" s="12" t="b">
        <v>1</v>
      </c>
      <c r="Y34" s="12">
        <v>1</v>
      </c>
      <c r="Z34" s="13" t="b">
        <v>1</v>
      </c>
    </row>
    <row r="35" spans="1:26">
      <c r="A35" t="s">
        <v>147</v>
      </c>
      <c r="B35" t="s">
        <v>148</v>
      </c>
      <c r="C35" t="s">
        <v>149</v>
      </c>
      <c r="D35" t="s">
        <v>19</v>
      </c>
      <c r="E35" t="s">
        <v>20</v>
      </c>
      <c r="F35" t="s">
        <v>147</v>
      </c>
      <c r="G35" t="s">
        <v>150</v>
      </c>
      <c r="H35" t="s">
        <v>22</v>
      </c>
      <c r="I35" t="s">
        <v>151</v>
      </c>
      <c r="L35" t="s">
        <v>23</v>
      </c>
      <c r="M35" t="s">
        <v>24</v>
      </c>
      <c r="N35" t="s">
        <v>25</v>
      </c>
      <c r="Q35" s="11" t="s">
        <v>147</v>
      </c>
      <c r="R35" s="12" t="s">
        <v>148</v>
      </c>
      <c r="S35" s="12" t="s">
        <v>148</v>
      </c>
      <c r="T35" s="12" t="b">
        <v>1</v>
      </c>
      <c r="U35" s="12">
        <v>0.79449999999999998</v>
      </c>
      <c r="V35" s="12">
        <v>160.36859999999999</v>
      </c>
      <c r="W35" s="12" t="s">
        <v>1000</v>
      </c>
      <c r="X35" s="12" t="b">
        <v>1</v>
      </c>
      <c r="Y35" s="12">
        <v>1</v>
      </c>
      <c r="Z35" s="13" t="b">
        <v>1</v>
      </c>
    </row>
    <row r="36" spans="1:26">
      <c r="A36" s="2" t="s">
        <v>152</v>
      </c>
      <c r="B36" s="2" t="s">
        <v>152</v>
      </c>
      <c r="C36" s="2" t="s">
        <v>153</v>
      </c>
      <c r="D36" s="2" t="s">
        <v>19</v>
      </c>
      <c r="E36" s="2" t="s">
        <v>20</v>
      </c>
      <c r="F36" s="2" t="s">
        <v>154</v>
      </c>
      <c r="G36" s="2" t="s">
        <v>155</v>
      </c>
      <c r="H36" s="2" t="s">
        <v>22</v>
      </c>
      <c r="I36" s="2" t="s">
        <v>156</v>
      </c>
      <c r="J36" s="2"/>
      <c r="K36" s="2"/>
      <c r="L36" t="s">
        <v>23</v>
      </c>
      <c r="M36" t="s">
        <v>24</v>
      </c>
      <c r="N36" t="s">
        <v>49</v>
      </c>
      <c r="Q36" s="11" t="s">
        <v>154</v>
      </c>
      <c r="R36" s="12" t="s">
        <v>152</v>
      </c>
      <c r="S36" s="12"/>
      <c r="T36" s="12" t="b">
        <v>0</v>
      </c>
      <c r="U36" s="12"/>
      <c r="V36" s="12"/>
      <c r="W36" s="12"/>
      <c r="X36" s="12" t="b">
        <v>0</v>
      </c>
      <c r="Y36" s="12"/>
      <c r="Z36" s="13" t="b">
        <v>0</v>
      </c>
    </row>
    <row r="37" spans="1:26">
      <c r="A37" s="2" t="s">
        <v>157</v>
      </c>
      <c r="B37" s="2" t="s">
        <v>158</v>
      </c>
      <c r="C37" s="2" t="s">
        <v>159</v>
      </c>
      <c r="D37" s="2" t="s">
        <v>19</v>
      </c>
      <c r="E37" s="2" t="s">
        <v>20</v>
      </c>
      <c r="F37" s="2" t="s">
        <v>157</v>
      </c>
      <c r="G37" s="2" t="s">
        <v>160</v>
      </c>
      <c r="H37" s="2" t="s">
        <v>22</v>
      </c>
      <c r="I37" s="2" t="s">
        <v>161</v>
      </c>
      <c r="J37" s="2"/>
      <c r="K37" s="2"/>
      <c r="L37" t="s">
        <v>23</v>
      </c>
      <c r="M37" t="s">
        <v>24</v>
      </c>
      <c r="N37" t="s">
        <v>25</v>
      </c>
      <c r="Q37" s="11" t="s">
        <v>157</v>
      </c>
      <c r="R37" s="12" t="s">
        <v>158</v>
      </c>
      <c r="S37" s="12" t="s">
        <v>158</v>
      </c>
      <c r="T37" s="12" t="b">
        <v>1</v>
      </c>
      <c r="U37" s="12">
        <v>0.93769999999999998</v>
      </c>
      <c r="V37" s="12">
        <v>402.5326</v>
      </c>
      <c r="W37" s="12" t="s">
        <v>1001</v>
      </c>
      <c r="X37" s="12" t="b">
        <v>1</v>
      </c>
      <c r="Y37" s="12">
        <v>1</v>
      </c>
      <c r="Z37" s="13" t="b">
        <v>1</v>
      </c>
    </row>
    <row r="38" spans="1:26">
      <c r="A38" s="2" t="s">
        <v>162</v>
      </c>
      <c r="B38" s="2" t="s">
        <v>163</v>
      </c>
      <c r="C38" s="2" t="s">
        <v>164</v>
      </c>
      <c r="D38" s="2" t="s">
        <v>19</v>
      </c>
      <c r="E38" s="2" t="s">
        <v>20</v>
      </c>
      <c r="F38" s="2" t="s">
        <v>165</v>
      </c>
      <c r="G38" s="2" t="s">
        <v>166</v>
      </c>
      <c r="H38" s="2" t="s">
        <v>22</v>
      </c>
      <c r="I38" s="2" t="s">
        <v>167</v>
      </c>
      <c r="J38" s="2"/>
      <c r="K38" s="2"/>
      <c r="L38" t="s">
        <v>23</v>
      </c>
      <c r="M38" t="s">
        <v>24</v>
      </c>
      <c r="N38" t="s">
        <v>49</v>
      </c>
      <c r="Q38" s="11" t="s">
        <v>165</v>
      </c>
      <c r="R38" s="12" t="s">
        <v>163</v>
      </c>
      <c r="S38" s="12" t="s">
        <v>168</v>
      </c>
      <c r="T38" s="12" t="b">
        <v>0</v>
      </c>
      <c r="U38" s="12">
        <v>1</v>
      </c>
      <c r="V38" s="12">
        <v>797.90620000000001</v>
      </c>
      <c r="W38" s="12" t="s">
        <v>168</v>
      </c>
      <c r="X38" s="12" t="b">
        <v>0</v>
      </c>
      <c r="Y38" s="12"/>
      <c r="Z38" s="13" t="b">
        <v>1</v>
      </c>
    </row>
    <row r="39" spans="1:26">
      <c r="A39" s="2" t="s">
        <v>165</v>
      </c>
      <c r="B39" s="2" t="s">
        <v>168</v>
      </c>
      <c r="C39" s="2" t="s">
        <v>169</v>
      </c>
      <c r="D39" s="2" t="s">
        <v>19</v>
      </c>
      <c r="E39" s="2" t="s">
        <v>20</v>
      </c>
      <c r="F39" s="2" t="s">
        <v>165</v>
      </c>
      <c r="G39" s="2" t="s">
        <v>170</v>
      </c>
      <c r="H39" s="2" t="s">
        <v>22</v>
      </c>
      <c r="I39" s="2" t="s">
        <v>171</v>
      </c>
      <c r="J39" s="2"/>
      <c r="K39" s="2"/>
      <c r="L39" t="s">
        <v>23</v>
      </c>
      <c r="M39" t="s">
        <v>24</v>
      </c>
      <c r="N39" t="s">
        <v>31</v>
      </c>
      <c r="Q39" s="11" t="s">
        <v>165</v>
      </c>
      <c r="R39" s="12" t="s">
        <v>168</v>
      </c>
      <c r="S39" s="12" t="s">
        <v>168</v>
      </c>
      <c r="T39" s="12" t="b">
        <v>1</v>
      </c>
      <c r="U39" s="12">
        <v>1</v>
      </c>
      <c r="V39" s="12">
        <v>797.90620000000001</v>
      </c>
      <c r="W39" s="12" t="s">
        <v>168</v>
      </c>
      <c r="X39" s="12" t="b">
        <v>1</v>
      </c>
      <c r="Y39" s="12">
        <v>1</v>
      </c>
      <c r="Z39" s="13" t="b">
        <v>1</v>
      </c>
    </row>
    <row r="40" spans="1:26">
      <c r="A40" s="2" t="s">
        <v>172</v>
      </c>
      <c r="B40" s="2" t="s">
        <v>173</v>
      </c>
      <c r="C40" s="2" t="s">
        <v>174</v>
      </c>
      <c r="D40" s="2" t="s">
        <v>19</v>
      </c>
      <c r="E40" s="2" t="s">
        <v>20</v>
      </c>
      <c r="F40" s="2" t="s">
        <v>175</v>
      </c>
      <c r="G40" s="2" t="s">
        <v>176</v>
      </c>
      <c r="H40" s="2"/>
      <c r="I40" s="2"/>
      <c r="J40" s="2"/>
      <c r="K40" s="2"/>
      <c r="L40" t="s">
        <v>23</v>
      </c>
      <c r="M40" t="s">
        <v>24</v>
      </c>
      <c r="N40" t="s">
        <v>49</v>
      </c>
      <c r="Q40" s="11" t="s">
        <v>175</v>
      </c>
      <c r="R40" s="12" t="s">
        <v>173</v>
      </c>
      <c r="S40" s="12"/>
      <c r="T40" s="12" t="b">
        <v>0</v>
      </c>
      <c r="U40" s="12"/>
      <c r="V40" s="12"/>
      <c r="W40" s="12" t="s">
        <v>1002</v>
      </c>
      <c r="X40" s="12" t="b">
        <v>0</v>
      </c>
      <c r="Y40" s="12"/>
      <c r="Z40" s="13" t="b">
        <v>0</v>
      </c>
    </row>
    <row r="41" spans="1:26">
      <c r="A41" t="s">
        <v>16</v>
      </c>
      <c r="B41" t="s">
        <v>17</v>
      </c>
      <c r="C41" t="s">
        <v>177</v>
      </c>
      <c r="D41" t="s">
        <v>44</v>
      </c>
      <c r="E41" t="s">
        <v>20</v>
      </c>
      <c r="F41" t="s">
        <v>178</v>
      </c>
      <c r="H41" t="s">
        <v>179</v>
      </c>
      <c r="J41">
        <v>15670</v>
      </c>
      <c r="L41" t="s">
        <v>180</v>
      </c>
      <c r="M41" t="s">
        <v>24</v>
      </c>
      <c r="N41" t="s">
        <v>49</v>
      </c>
      <c r="Q41" s="11" t="s">
        <v>178</v>
      </c>
      <c r="R41" s="12" t="s">
        <v>17</v>
      </c>
      <c r="S41" s="12"/>
      <c r="T41" s="12" t="b">
        <v>0</v>
      </c>
      <c r="U41" s="12"/>
      <c r="V41" s="12"/>
      <c r="W41" s="12" t="s">
        <v>1003</v>
      </c>
      <c r="X41" s="12" t="b">
        <v>0</v>
      </c>
      <c r="Y41" s="12"/>
      <c r="Z41" s="13" t="b">
        <v>0</v>
      </c>
    </row>
    <row r="42" spans="1:26">
      <c r="A42" t="s">
        <v>26</v>
      </c>
      <c r="B42" t="s">
        <v>27</v>
      </c>
      <c r="C42" t="s">
        <v>181</v>
      </c>
      <c r="D42" t="s">
        <v>127</v>
      </c>
      <c r="E42" t="s">
        <v>127</v>
      </c>
      <c r="F42" t="s">
        <v>182</v>
      </c>
      <c r="H42" t="s">
        <v>183</v>
      </c>
      <c r="J42">
        <v>12867</v>
      </c>
      <c r="L42" t="s">
        <v>180</v>
      </c>
      <c r="M42" t="s">
        <v>24</v>
      </c>
      <c r="N42" t="s">
        <v>31</v>
      </c>
      <c r="Q42" s="11" t="s">
        <v>182</v>
      </c>
      <c r="R42" s="12" t="s">
        <v>27</v>
      </c>
      <c r="S42" s="12" t="s">
        <v>27</v>
      </c>
      <c r="T42" s="12" t="b">
        <v>1</v>
      </c>
      <c r="U42" s="12">
        <v>0.97519999999999996</v>
      </c>
      <c r="V42" s="12">
        <v>511.78359999999998</v>
      </c>
      <c r="W42" s="12" t="s">
        <v>987</v>
      </c>
      <c r="X42" s="12" t="b">
        <v>1</v>
      </c>
      <c r="Y42" s="12">
        <v>1</v>
      </c>
      <c r="Z42" s="13" t="b">
        <v>1</v>
      </c>
    </row>
    <row r="43" spans="1:26">
      <c r="A43" t="s">
        <v>184</v>
      </c>
      <c r="B43" t="s">
        <v>185</v>
      </c>
      <c r="C43" t="s">
        <v>186</v>
      </c>
      <c r="D43" t="s">
        <v>19</v>
      </c>
      <c r="E43" t="s">
        <v>20</v>
      </c>
      <c r="F43" t="s">
        <v>187</v>
      </c>
      <c r="H43" t="s">
        <v>188</v>
      </c>
      <c r="J43">
        <v>15010</v>
      </c>
      <c r="L43" t="s">
        <v>180</v>
      </c>
      <c r="M43" t="s">
        <v>24</v>
      </c>
      <c r="N43" t="s">
        <v>25</v>
      </c>
      <c r="Q43" s="11" t="s">
        <v>187</v>
      </c>
      <c r="R43" s="12" t="s">
        <v>185</v>
      </c>
      <c r="S43" s="12" t="s">
        <v>185</v>
      </c>
      <c r="T43" s="12" t="b">
        <v>1</v>
      </c>
      <c r="U43" s="12">
        <v>0.91790000000000005</v>
      </c>
      <c r="V43" s="12">
        <v>354.31740000000002</v>
      </c>
      <c r="W43" s="12" t="s">
        <v>185</v>
      </c>
      <c r="X43" s="12" t="b">
        <v>1</v>
      </c>
      <c r="Y43" s="12">
        <v>1</v>
      </c>
      <c r="Z43" s="13" t="b">
        <v>1</v>
      </c>
    </row>
    <row r="44" spans="1:26">
      <c r="A44" t="s">
        <v>53</v>
      </c>
      <c r="B44" t="s">
        <v>54</v>
      </c>
      <c r="C44" t="s">
        <v>55</v>
      </c>
      <c r="D44" t="s">
        <v>19</v>
      </c>
      <c r="E44" t="s">
        <v>20</v>
      </c>
      <c r="F44" t="s">
        <v>53</v>
      </c>
      <c r="H44" t="s">
        <v>189</v>
      </c>
      <c r="J44">
        <v>5628</v>
      </c>
      <c r="L44" t="s">
        <v>180</v>
      </c>
      <c r="M44" t="s">
        <v>24</v>
      </c>
      <c r="N44" t="s">
        <v>25</v>
      </c>
      <c r="Q44" s="11" t="s">
        <v>53</v>
      </c>
      <c r="R44" s="12" t="s">
        <v>54</v>
      </c>
      <c r="S44" s="12" t="s">
        <v>54</v>
      </c>
      <c r="T44" s="12" t="b">
        <v>1</v>
      </c>
      <c r="U44" s="12">
        <v>0.95279999999999998</v>
      </c>
      <c r="V44" s="12">
        <v>443.35820000000001</v>
      </c>
      <c r="W44" s="12" t="s">
        <v>990</v>
      </c>
      <c r="X44" s="12" t="b">
        <v>1</v>
      </c>
      <c r="Y44" s="12">
        <v>1</v>
      </c>
      <c r="Z44" s="13" t="b">
        <v>1</v>
      </c>
    </row>
    <row r="45" spans="1:26">
      <c r="A45" t="s">
        <v>190</v>
      </c>
      <c r="B45" t="s">
        <v>191</v>
      </c>
      <c r="C45" t="s">
        <v>192</v>
      </c>
      <c r="D45" t="s">
        <v>19</v>
      </c>
      <c r="E45" t="s">
        <v>20</v>
      </c>
      <c r="F45" t="s">
        <v>193</v>
      </c>
      <c r="H45" t="s">
        <v>22</v>
      </c>
      <c r="J45">
        <v>3130</v>
      </c>
      <c r="L45" t="s">
        <v>180</v>
      </c>
      <c r="M45" t="s">
        <v>24</v>
      </c>
      <c r="N45" t="s">
        <v>25</v>
      </c>
      <c r="Q45" s="11" t="s">
        <v>193</v>
      </c>
      <c r="R45" s="12" t="s">
        <v>191</v>
      </c>
      <c r="S45" s="12" t="s">
        <v>191</v>
      </c>
      <c r="T45" s="12" t="b">
        <v>1</v>
      </c>
      <c r="U45" s="12">
        <v>1</v>
      </c>
      <c r="V45" s="12">
        <v>660.31110000000001</v>
      </c>
      <c r="W45" s="12" t="s">
        <v>1004</v>
      </c>
      <c r="X45" s="12" t="b">
        <v>1</v>
      </c>
      <c r="Y45" s="12">
        <v>1</v>
      </c>
      <c r="Z45" s="13" t="b">
        <v>1</v>
      </c>
    </row>
    <row r="46" spans="1:26">
      <c r="A46" t="s">
        <v>68</v>
      </c>
      <c r="B46" t="s">
        <v>69</v>
      </c>
      <c r="C46" t="s">
        <v>70</v>
      </c>
      <c r="D46" t="s">
        <v>19</v>
      </c>
      <c r="E46" t="s">
        <v>20</v>
      </c>
      <c r="F46" t="s">
        <v>194</v>
      </c>
      <c r="H46" t="s">
        <v>189</v>
      </c>
      <c r="J46">
        <v>3155</v>
      </c>
      <c r="L46" t="s">
        <v>180</v>
      </c>
      <c r="M46" t="s">
        <v>24</v>
      </c>
      <c r="N46" t="s">
        <v>31</v>
      </c>
      <c r="Q46" s="11" t="s">
        <v>194</v>
      </c>
      <c r="R46" s="12" t="s">
        <v>69</v>
      </c>
      <c r="S46" s="12" t="s">
        <v>69</v>
      </c>
      <c r="T46" s="12" t="b">
        <v>1</v>
      </c>
      <c r="U46" s="12">
        <v>0.84989999999999999</v>
      </c>
      <c r="V46" s="12">
        <v>229.05699999999999</v>
      </c>
      <c r="W46" s="12" t="s">
        <v>992</v>
      </c>
      <c r="X46" s="12" t="b">
        <v>1</v>
      </c>
      <c r="Y46" s="12">
        <v>1</v>
      </c>
      <c r="Z46" s="13" t="b">
        <v>1</v>
      </c>
    </row>
    <row r="47" spans="1:26">
      <c r="A47" t="s">
        <v>195</v>
      </c>
      <c r="B47" t="s">
        <v>196</v>
      </c>
      <c r="C47" t="s">
        <v>197</v>
      </c>
      <c r="D47" t="s">
        <v>19</v>
      </c>
      <c r="E47" t="s">
        <v>20</v>
      </c>
      <c r="F47" t="s">
        <v>198</v>
      </c>
      <c r="H47" t="s">
        <v>189</v>
      </c>
      <c r="J47">
        <v>3098</v>
      </c>
      <c r="L47" t="s">
        <v>180</v>
      </c>
      <c r="M47" t="s">
        <v>24</v>
      </c>
      <c r="N47" t="s">
        <v>25</v>
      </c>
      <c r="Q47" s="11" t="s">
        <v>198</v>
      </c>
      <c r="R47" s="12" t="s">
        <v>196</v>
      </c>
      <c r="S47" s="12" t="s">
        <v>196</v>
      </c>
      <c r="T47" s="12" t="b">
        <v>1</v>
      </c>
      <c r="U47" s="12">
        <v>0.94810000000000005</v>
      </c>
      <c r="V47" s="12">
        <v>430.20280000000002</v>
      </c>
      <c r="W47" s="12" t="s">
        <v>1005</v>
      </c>
      <c r="X47" s="12" t="b">
        <v>1</v>
      </c>
      <c r="Y47" s="12">
        <v>1</v>
      </c>
      <c r="Z47" s="13" t="b">
        <v>1</v>
      </c>
    </row>
    <row r="48" spans="1:26">
      <c r="A48" t="s">
        <v>199</v>
      </c>
      <c r="B48" t="s">
        <v>200</v>
      </c>
      <c r="C48" t="s">
        <v>201</v>
      </c>
      <c r="D48" t="s">
        <v>19</v>
      </c>
      <c r="E48" t="s">
        <v>20</v>
      </c>
      <c r="F48" t="s">
        <v>202</v>
      </c>
      <c r="H48" t="s">
        <v>203</v>
      </c>
      <c r="J48">
        <v>3240</v>
      </c>
      <c r="L48" t="s">
        <v>180</v>
      </c>
      <c r="M48" t="s">
        <v>24</v>
      </c>
      <c r="N48" t="s">
        <v>25</v>
      </c>
      <c r="Q48" s="11" t="s">
        <v>202</v>
      </c>
      <c r="R48" s="12" t="s">
        <v>200</v>
      </c>
      <c r="S48" s="12" t="s">
        <v>200</v>
      </c>
      <c r="T48" s="12" t="b">
        <v>1</v>
      </c>
      <c r="U48" s="12">
        <v>0.91290000000000004</v>
      </c>
      <c r="V48" s="12">
        <v>343.26870000000002</v>
      </c>
      <c r="W48" s="12" t="s">
        <v>1006</v>
      </c>
      <c r="X48" s="12" t="b">
        <v>1</v>
      </c>
      <c r="Y48" s="12">
        <v>1</v>
      </c>
      <c r="Z48" s="13" t="b">
        <v>1</v>
      </c>
    </row>
    <row r="49" spans="1:26">
      <c r="A49" t="s">
        <v>204</v>
      </c>
      <c r="B49" t="s">
        <v>205</v>
      </c>
      <c r="C49" t="s">
        <v>206</v>
      </c>
      <c r="D49" t="s">
        <v>19</v>
      </c>
      <c r="E49" t="s">
        <v>20</v>
      </c>
      <c r="F49" t="s">
        <v>207</v>
      </c>
      <c r="H49" t="s">
        <v>208</v>
      </c>
      <c r="J49">
        <v>10566</v>
      </c>
      <c r="L49" t="s">
        <v>180</v>
      </c>
      <c r="M49" t="s">
        <v>24</v>
      </c>
      <c r="N49" t="s">
        <v>31</v>
      </c>
      <c r="Q49" s="11" t="s">
        <v>207</v>
      </c>
      <c r="R49" s="12" t="s">
        <v>205</v>
      </c>
      <c r="S49" s="12" t="s">
        <v>205</v>
      </c>
      <c r="T49" s="12" t="b">
        <v>1</v>
      </c>
      <c r="U49" s="12">
        <v>1</v>
      </c>
      <c r="V49" s="12">
        <v>962.42600000000004</v>
      </c>
      <c r="W49" s="12" t="s">
        <v>1007</v>
      </c>
      <c r="X49" s="12" t="b">
        <v>1</v>
      </c>
      <c r="Y49" s="12">
        <v>1</v>
      </c>
      <c r="Z49" s="13" t="b">
        <v>1</v>
      </c>
    </row>
    <row r="50" spans="1:26">
      <c r="A50" t="s">
        <v>209</v>
      </c>
      <c r="B50" t="s">
        <v>210</v>
      </c>
      <c r="C50" t="s">
        <v>211</v>
      </c>
      <c r="D50" t="s">
        <v>19</v>
      </c>
      <c r="E50" t="s">
        <v>20</v>
      </c>
      <c r="F50" t="s">
        <v>212</v>
      </c>
      <c r="H50" t="s">
        <v>189</v>
      </c>
      <c r="J50">
        <v>9059</v>
      </c>
      <c r="L50" t="s">
        <v>180</v>
      </c>
      <c r="M50" t="s">
        <v>24</v>
      </c>
      <c r="N50" t="s">
        <v>25</v>
      </c>
      <c r="Q50" s="11" t="s">
        <v>212</v>
      </c>
      <c r="R50" s="12" t="s">
        <v>210</v>
      </c>
      <c r="S50" s="12" t="s">
        <v>210</v>
      </c>
      <c r="T50" s="12" t="b">
        <v>1</v>
      </c>
      <c r="U50" s="12">
        <v>0.93579999999999997</v>
      </c>
      <c r="V50" s="12">
        <v>397.49590000000001</v>
      </c>
      <c r="W50" s="12" t="s">
        <v>210</v>
      </c>
      <c r="X50" s="12" t="b">
        <v>1</v>
      </c>
      <c r="Y50" s="12">
        <v>1</v>
      </c>
      <c r="Z50" s="13" t="b">
        <v>1</v>
      </c>
    </row>
    <row r="51" spans="1:26">
      <c r="A51" t="s">
        <v>213</v>
      </c>
      <c r="B51" t="s">
        <v>214</v>
      </c>
      <c r="C51" t="s">
        <v>215</v>
      </c>
      <c r="D51" t="s">
        <v>44</v>
      </c>
      <c r="E51" t="s">
        <v>20</v>
      </c>
      <c r="F51" t="s">
        <v>216</v>
      </c>
      <c r="H51" t="s">
        <v>217</v>
      </c>
      <c r="J51">
        <v>10523</v>
      </c>
      <c r="L51" t="s">
        <v>180</v>
      </c>
      <c r="M51" t="s">
        <v>24</v>
      </c>
      <c r="N51" t="s">
        <v>49</v>
      </c>
      <c r="Q51" s="11" t="s">
        <v>216</v>
      </c>
      <c r="R51" s="12" t="s">
        <v>214</v>
      </c>
      <c r="S51" s="12"/>
      <c r="T51" s="12" t="b">
        <v>0</v>
      </c>
      <c r="U51" s="12"/>
      <c r="V51" s="12"/>
      <c r="W51" s="12" t="s">
        <v>1008</v>
      </c>
      <c r="X51" s="12" t="b">
        <v>0</v>
      </c>
      <c r="Y51" s="12"/>
      <c r="Z51" s="13" t="b">
        <v>0</v>
      </c>
    </row>
    <row r="52" spans="1:26">
      <c r="A52" t="s">
        <v>213</v>
      </c>
      <c r="B52" t="s">
        <v>214</v>
      </c>
      <c r="C52" t="s">
        <v>218</v>
      </c>
      <c r="D52" t="s">
        <v>19</v>
      </c>
      <c r="E52" t="s">
        <v>20</v>
      </c>
      <c r="F52" t="s">
        <v>216</v>
      </c>
      <c r="H52" t="s">
        <v>219</v>
      </c>
      <c r="J52">
        <v>10521</v>
      </c>
      <c r="L52" t="s">
        <v>180</v>
      </c>
      <c r="M52" t="s">
        <v>24</v>
      </c>
      <c r="N52" t="s">
        <v>49</v>
      </c>
      <c r="Q52" s="11" t="s">
        <v>223</v>
      </c>
      <c r="R52" s="12" t="s">
        <v>221</v>
      </c>
      <c r="S52" s="12" t="s">
        <v>221</v>
      </c>
      <c r="T52" s="12" t="b">
        <v>1</v>
      </c>
      <c r="U52" s="12">
        <v>0.9335</v>
      </c>
      <c r="V52" s="12">
        <v>391.77019999999999</v>
      </c>
      <c r="W52" s="12" t="s">
        <v>221</v>
      </c>
      <c r="X52" s="12" t="b">
        <v>1</v>
      </c>
      <c r="Y52" s="12">
        <v>1</v>
      </c>
      <c r="Z52" s="13" t="b">
        <v>1</v>
      </c>
    </row>
    <row r="53" spans="1:26">
      <c r="A53" t="s">
        <v>220</v>
      </c>
      <c r="B53" t="s">
        <v>221</v>
      </c>
      <c r="C53" t="s">
        <v>222</v>
      </c>
      <c r="D53" t="s">
        <v>19</v>
      </c>
      <c r="E53" t="s">
        <v>20</v>
      </c>
      <c r="F53" t="s">
        <v>223</v>
      </c>
      <c r="H53" t="s">
        <v>22</v>
      </c>
      <c r="J53">
        <v>9770</v>
      </c>
      <c r="L53" t="s">
        <v>180</v>
      </c>
      <c r="M53" t="s">
        <v>24</v>
      </c>
      <c r="N53" t="s">
        <v>49</v>
      </c>
      <c r="P53" t="s">
        <v>1009</v>
      </c>
      <c r="Q53" s="11" t="s">
        <v>225</v>
      </c>
      <c r="R53" s="12" t="s">
        <v>148</v>
      </c>
      <c r="S53" s="12" t="s">
        <v>148</v>
      </c>
      <c r="T53" s="12" t="b">
        <v>1</v>
      </c>
      <c r="U53" s="12">
        <v>0.79449999999999998</v>
      </c>
      <c r="V53" s="12">
        <v>160.36859999999999</v>
      </c>
      <c r="W53" s="12" t="s">
        <v>1000</v>
      </c>
      <c r="X53" s="12" t="b">
        <v>1</v>
      </c>
      <c r="Y53" s="12">
        <v>1</v>
      </c>
      <c r="Z53" s="13" t="b">
        <v>1</v>
      </c>
    </row>
    <row r="54" spans="1:26">
      <c r="A54" t="s">
        <v>224</v>
      </c>
      <c r="B54" t="s">
        <v>148</v>
      </c>
      <c r="C54" t="s">
        <v>149</v>
      </c>
      <c r="D54" t="s">
        <v>19</v>
      </c>
      <c r="E54" t="s">
        <v>20</v>
      </c>
      <c r="F54" t="s">
        <v>225</v>
      </c>
      <c r="H54" t="s">
        <v>226</v>
      </c>
      <c r="J54">
        <v>15418</v>
      </c>
      <c r="L54" t="s">
        <v>180</v>
      </c>
      <c r="M54" t="s">
        <v>24</v>
      </c>
      <c r="N54" t="s">
        <v>25</v>
      </c>
      <c r="Q54" s="11" t="s">
        <v>225</v>
      </c>
      <c r="R54" s="12" t="s">
        <v>148</v>
      </c>
      <c r="S54" s="12" t="s">
        <v>148</v>
      </c>
      <c r="T54" s="12" t="b">
        <v>1</v>
      </c>
      <c r="U54" s="12">
        <v>0.79449999999999998</v>
      </c>
      <c r="V54" s="12">
        <v>160.36859999999999</v>
      </c>
      <c r="W54" s="12" t="s">
        <v>1000</v>
      </c>
      <c r="X54" s="12" t="b">
        <v>1</v>
      </c>
      <c r="Y54" s="12">
        <v>1</v>
      </c>
      <c r="Z54" s="13" t="b">
        <v>1</v>
      </c>
    </row>
    <row r="55" spans="1:26">
      <c r="A55" t="s">
        <v>227</v>
      </c>
      <c r="B55" t="s">
        <v>158</v>
      </c>
      <c r="C55" t="s">
        <v>159</v>
      </c>
      <c r="D55" t="s">
        <v>19</v>
      </c>
      <c r="E55" t="s">
        <v>20</v>
      </c>
      <c r="F55" t="s">
        <v>228</v>
      </c>
      <c r="H55" t="s">
        <v>229</v>
      </c>
      <c r="J55">
        <v>12829</v>
      </c>
      <c r="L55" t="s">
        <v>180</v>
      </c>
      <c r="M55" t="s">
        <v>24</v>
      </c>
      <c r="N55" t="s">
        <v>49</v>
      </c>
      <c r="Q55" s="11" t="s">
        <v>228</v>
      </c>
      <c r="R55" s="12" t="s">
        <v>158</v>
      </c>
      <c r="S55" s="12" t="s">
        <v>1010</v>
      </c>
      <c r="T55" s="12" t="b">
        <v>0</v>
      </c>
      <c r="U55" s="12">
        <v>0.81979999999999997</v>
      </c>
      <c r="V55" s="12">
        <v>188.66370000000001</v>
      </c>
      <c r="W55" s="12" t="s">
        <v>1011</v>
      </c>
      <c r="X55" s="12" t="b">
        <v>1</v>
      </c>
      <c r="Y55" s="12">
        <v>5</v>
      </c>
      <c r="Z55" s="13" t="b">
        <v>1</v>
      </c>
    </row>
    <row r="56" spans="1:26">
      <c r="A56" t="s">
        <v>230</v>
      </c>
      <c r="B56" t="s">
        <v>231</v>
      </c>
      <c r="C56" t="s">
        <v>232</v>
      </c>
      <c r="D56" t="s">
        <v>127</v>
      </c>
      <c r="E56" t="s">
        <v>127</v>
      </c>
      <c r="F56" t="s">
        <v>233</v>
      </c>
      <c r="H56" t="s">
        <v>234</v>
      </c>
      <c r="J56">
        <v>23253</v>
      </c>
      <c r="L56" t="s">
        <v>180</v>
      </c>
      <c r="M56" t="s">
        <v>24</v>
      </c>
      <c r="N56" t="s">
        <v>49</v>
      </c>
      <c r="Q56" s="11" t="s">
        <v>233</v>
      </c>
      <c r="R56" s="12" t="s">
        <v>231</v>
      </c>
      <c r="S56" s="12" t="s">
        <v>233</v>
      </c>
      <c r="T56" s="12" t="b">
        <v>0</v>
      </c>
      <c r="U56" s="12">
        <v>1</v>
      </c>
      <c r="V56" s="12">
        <v>1305.1122</v>
      </c>
      <c r="W56" s="12" t="s">
        <v>1012</v>
      </c>
      <c r="X56" s="12" t="b">
        <v>0</v>
      </c>
      <c r="Y56" s="12"/>
      <c r="Z56" s="13" t="b">
        <v>1</v>
      </c>
    </row>
    <row r="57" spans="1:26">
      <c r="A57" t="s">
        <v>235</v>
      </c>
      <c r="B57" t="s">
        <v>236</v>
      </c>
      <c r="C57" t="s">
        <v>237</v>
      </c>
      <c r="D57" t="s">
        <v>19</v>
      </c>
      <c r="E57" t="s">
        <v>20</v>
      </c>
      <c r="F57" t="s">
        <v>238</v>
      </c>
      <c r="H57" t="s">
        <v>239</v>
      </c>
      <c r="J57">
        <v>13567</v>
      </c>
      <c r="L57" t="s">
        <v>180</v>
      </c>
      <c r="M57" t="s">
        <v>24</v>
      </c>
      <c r="N57" t="s">
        <v>49</v>
      </c>
      <c r="Q57" s="11" t="s">
        <v>238</v>
      </c>
      <c r="R57" s="12" t="s">
        <v>236</v>
      </c>
      <c r="S57" s="12"/>
      <c r="T57" s="12" t="b">
        <v>0</v>
      </c>
      <c r="U57" s="12"/>
      <c r="V57" s="12"/>
      <c r="W57" s="12"/>
      <c r="X57" s="12" t="b">
        <v>0</v>
      </c>
      <c r="Y57" s="12"/>
      <c r="Z57" s="13" t="b">
        <v>0</v>
      </c>
    </row>
    <row r="58" spans="1:26">
      <c r="A58" t="s">
        <v>240</v>
      </c>
      <c r="B58" t="s">
        <v>241</v>
      </c>
      <c r="C58" t="s">
        <v>242</v>
      </c>
      <c r="D58" t="s">
        <v>19</v>
      </c>
      <c r="E58" t="s">
        <v>20</v>
      </c>
      <c r="F58" t="s">
        <v>243</v>
      </c>
      <c r="H58" t="s">
        <v>244</v>
      </c>
      <c r="J58">
        <v>11807</v>
      </c>
      <c r="L58" t="s">
        <v>180</v>
      </c>
      <c r="M58" t="s">
        <v>24</v>
      </c>
      <c r="N58" t="s">
        <v>31</v>
      </c>
      <c r="Q58" s="11" t="s">
        <v>243</v>
      </c>
      <c r="R58" s="12" t="s">
        <v>241</v>
      </c>
      <c r="S58" s="12" t="s">
        <v>241</v>
      </c>
      <c r="T58" s="12" t="b">
        <v>1</v>
      </c>
      <c r="U58" s="12">
        <v>0.79410000000000003</v>
      </c>
      <c r="V58" s="12">
        <v>159.91319999999999</v>
      </c>
      <c r="W58" s="12" t="s">
        <v>1013</v>
      </c>
      <c r="X58" s="12" t="b">
        <v>1</v>
      </c>
      <c r="Y58" s="12">
        <v>1</v>
      </c>
      <c r="Z58" s="13" t="b">
        <v>1</v>
      </c>
    </row>
    <row r="59" spans="1:26">
      <c r="A59" t="s">
        <v>245</v>
      </c>
      <c r="B59" t="s">
        <v>246</v>
      </c>
      <c r="C59" t="s">
        <v>247</v>
      </c>
      <c r="D59" t="s">
        <v>19</v>
      </c>
      <c r="E59" t="s">
        <v>20</v>
      </c>
      <c r="F59" t="s">
        <v>248</v>
      </c>
      <c r="H59" t="s">
        <v>249</v>
      </c>
      <c r="J59">
        <v>14568</v>
      </c>
      <c r="L59" t="s">
        <v>180</v>
      </c>
      <c r="M59" t="s">
        <v>24</v>
      </c>
      <c r="N59" t="s">
        <v>31</v>
      </c>
      <c r="Q59" s="11" t="s">
        <v>248</v>
      </c>
      <c r="R59" s="12" t="s">
        <v>246</v>
      </c>
      <c r="S59" s="12" t="s">
        <v>246</v>
      </c>
      <c r="T59" s="12" t="b">
        <v>1</v>
      </c>
      <c r="U59" s="12">
        <v>1</v>
      </c>
      <c r="V59" s="12">
        <v>615.21939999999995</v>
      </c>
      <c r="W59" s="12" t="s">
        <v>1014</v>
      </c>
      <c r="X59" s="12" t="b">
        <v>1</v>
      </c>
      <c r="Y59" s="12">
        <v>1</v>
      </c>
      <c r="Z59" s="13" t="b">
        <v>1</v>
      </c>
    </row>
    <row r="60" spans="1:26">
      <c r="A60" t="s">
        <v>184</v>
      </c>
      <c r="B60" t="s">
        <v>185</v>
      </c>
      <c r="C60" t="s">
        <v>186</v>
      </c>
      <c r="D60" t="s">
        <v>19</v>
      </c>
      <c r="E60" t="s">
        <v>20</v>
      </c>
      <c r="F60" t="s">
        <v>184</v>
      </c>
      <c r="H60" t="s">
        <v>250</v>
      </c>
      <c r="K60" t="s">
        <v>251</v>
      </c>
      <c r="L60" t="s">
        <v>252</v>
      </c>
      <c r="M60" t="s">
        <v>24</v>
      </c>
      <c r="N60" t="s">
        <v>25</v>
      </c>
      <c r="Q60" s="11" t="s">
        <v>184</v>
      </c>
      <c r="R60" s="12" t="s">
        <v>185</v>
      </c>
      <c r="S60" s="12" t="s">
        <v>185</v>
      </c>
      <c r="T60" s="12" t="b">
        <v>1</v>
      </c>
      <c r="U60" s="12">
        <v>0.91790000000000005</v>
      </c>
      <c r="V60" s="12">
        <v>354.31740000000002</v>
      </c>
      <c r="W60" s="12" t="s">
        <v>185</v>
      </c>
      <c r="X60" s="12" t="b">
        <v>1</v>
      </c>
      <c r="Y60" s="12">
        <v>1</v>
      </c>
      <c r="Z60" s="13" t="b">
        <v>1</v>
      </c>
    </row>
    <row r="61" spans="1:26">
      <c r="A61" t="s">
        <v>253</v>
      </c>
      <c r="B61" t="s">
        <v>214</v>
      </c>
      <c r="C61" t="s">
        <v>254</v>
      </c>
      <c r="D61" t="s">
        <v>127</v>
      </c>
      <c r="E61" t="s">
        <v>127</v>
      </c>
      <c r="F61" t="s">
        <v>253</v>
      </c>
      <c r="H61" t="s">
        <v>127</v>
      </c>
      <c r="K61">
        <v>1680</v>
      </c>
      <c r="L61" t="s">
        <v>252</v>
      </c>
      <c r="M61" t="s">
        <v>24</v>
      </c>
      <c r="N61" t="s">
        <v>31</v>
      </c>
      <c r="Q61" s="11" t="s">
        <v>253</v>
      </c>
      <c r="R61" s="12" t="s">
        <v>214</v>
      </c>
      <c r="S61" s="12" t="s">
        <v>214</v>
      </c>
      <c r="T61" s="12" t="b">
        <v>1</v>
      </c>
      <c r="U61" s="12">
        <v>1.2</v>
      </c>
      <c r="V61" s="12">
        <v>714.26639999999998</v>
      </c>
      <c r="W61" s="12" t="s">
        <v>1015</v>
      </c>
      <c r="X61" s="12" t="b">
        <v>1</v>
      </c>
      <c r="Y61" s="12">
        <v>1</v>
      </c>
      <c r="Z61" s="13" t="b">
        <v>1</v>
      </c>
    </row>
    <row r="62" spans="1:26">
      <c r="A62" t="s">
        <v>255</v>
      </c>
      <c r="B62" t="s">
        <v>256</v>
      </c>
      <c r="C62" t="s">
        <v>257</v>
      </c>
      <c r="D62" t="s">
        <v>79</v>
      </c>
      <c r="E62" t="s">
        <v>20</v>
      </c>
      <c r="F62" t="s">
        <v>258</v>
      </c>
      <c r="H62" t="s">
        <v>259</v>
      </c>
      <c r="K62" t="s">
        <v>260</v>
      </c>
      <c r="L62" t="s">
        <v>252</v>
      </c>
      <c r="M62" t="s">
        <v>24</v>
      </c>
      <c r="N62" t="s">
        <v>31</v>
      </c>
      <c r="Q62" s="11" t="s">
        <v>1016</v>
      </c>
      <c r="R62" s="12" t="s">
        <v>256</v>
      </c>
      <c r="S62" s="12" t="s">
        <v>256</v>
      </c>
      <c r="T62" s="12" t="b">
        <v>1</v>
      </c>
      <c r="U62" s="12">
        <v>1</v>
      </c>
      <c r="V62" s="12">
        <v>963.34969999999998</v>
      </c>
      <c r="W62" s="12" t="s">
        <v>256</v>
      </c>
      <c r="X62" s="12" t="b">
        <v>1</v>
      </c>
      <c r="Y62" s="12">
        <v>1</v>
      </c>
      <c r="Z62" s="13" t="b">
        <v>1</v>
      </c>
    </row>
    <row r="63" spans="1:26">
      <c r="A63" t="s">
        <v>261</v>
      </c>
      <c r="B63" t="s">
        <v>262</v>
      </c>
      <c r="C63" t="s">
        <v>263</v>
      </c>
      <c r="D63" t="s">
        <v>19</v>
      </c>
      <c r="E63" t="s">
        <v>20</v>
      </c>
      <c r="F63" t="s">
        <v>261</v>
      </c>
      <c r="H63" t="s">
        <v>189</v>
      </c>
      <c r="K63" t="s">
        <v>264</v>
      </c>
      <c r="L63" t="s">
        <v>252</v>
      </c>
      <c r="M63" t="s">
        <v>24</v>
      </c>
      <c r="N63" t="s">
        <v>31</v>
      </c>
      <c r="Q63" s="11" t="s">
        <v>261</v>
      </c>
      <c r="R63" s="12" t="s">
        <v>262</v>
      </c>
      <c r="S63" s="12" t="s">
        <v>262</v>
      </c>
      <c r="T63" s="12" t="b">
        <v>1</v>
      </c>
      <c r="U63" s="12">
        <v>1</v>
      </c>
      <c r="V63" s="12">
        <v>731.21140000000003</v>
      </c>
      <c r="W63" s="12" t="s">
        <v>1017</v>
      </c>
      <c r="X63" s="12" t="b">
        <v>1</v>
      </c>
      <c r="Y63" s="12">
        <v>1</v>
      </c>
      <c r="Z63" s="13" t="b">
        <v>1</v>
      </c>
    </row>
    <row r="64" spans="1:26">
      <c r="A64" t="s">
        <v>265</v>
      </c>
      <c r="B64" t="s">
        <v>266</v>
      </c>
      <c r="C64" t="s">
        <v>267</v>
      </c>
      <c r="D64" t="s">
        <v>19</v>
      </c>
      <c r="E64" t="s">
        <v>20</v>
      </c>
      <c r="F64" t="s">
        <v>268</v>
      </c>
      <c r="H64" t="s">
        <v>269</v>
      </c>
      <c r="K64">
        <v>2207</v>
      </c>
      <c r="L64" t="s">
        <v>252</v>
      </c>
      <c r="M64" t="s">
        <v>24</v>
      </c>
      <c r="N64" t="s">
        <v>49</v>
      </c>
      <c r="Q64" s="11" t="s">
        <v>268</v>
      </c>
      <c r="R64" s="12" t="s">
        <v>266</v>
      </c>
      <c r="S64" s="12" t="s">
        <v>266</v>
      </c>
      <c r="T64" s="12" t="b">
        <v>1</v>
      </c>
      <c r="U64" s="12">
        <v>0.88480000000000003</v>
      </c>
      <c r="V64" s="12">
        <v>286.55340000000001</v>
      </c>
      <c r="W64" s="12" t="s">
        <v>266</v>
      </c>
      <c r="X64" s="12" t="b">
        <v>1</v>
      </c>
      <c r="Y64" s="12">
        <v>1</v>
      </c>
      <c r="Z64" s="13" t="b">
        <v>1</v>
      </c>
    </row>
    <row r="65" spans="1:26">
      <c r="A65" t="s">
        <v>270</v>
      </c>
      <c r="B65" t="s">
        <v>271</v>
      </c>
      <c r="C65" s="3" t="s">
        <v>272</v>
      </c>
      <c r="D65" t="s">
        <v>79</v>
      </c>
      <c r="E65" t="s">
        <v>20</v>
      </c>
      <c r="F65" t="s">
        <v>273</v>
      </c>
      <c r="H65" t="s">
        <v>259</v>
      </c>
      <c r="K65">
        <v>1915</v>
      </c>
      <c r="L65" t="s">
        <v>252</v>
      </c>
      <c r="M65" t="s">
        <v>24</v>
      </c>
      <c r="N65" t="s">
        <v>25</v>
      </c>
      <c r="Q65" s="11" t="s">
        <v>273</v>
      </c>
      <c r="R65" s="12" t="s">
        <v>271</v>
      </c>
      <c r="S65" s="12" t="s">
        <v>271</v>
      </c>
      <c r="T65" s="12" t="b">
        <v>1</v>
      </c>
      <c r="U65" s="12">
        <v>0.95899999999999996</v>
      </c>
      <c r="V65" s="12">
        <v>461.45069999999998</v>
      </c>
      <c r="W65" s="12" t="s">
        <v>271</v>
      </c>
      <c r="X65" s="12" t="b">
        <v>1</v>
      </c>
      <c r="Y65" s="12">
        <v>1</v>
      </c>
      <c r="Z65" s="13" t="b">
        <v>1</v>
      </c>
    </row>
    <row r="66" spans="1:26">
      <c r="A66" t="s">
        <v>274</v>
      </c>
      <c r="B66" t="s">
        <v>275</v>
      </c>
      <c r="C66" t="s">
        <v>276</v>
      </c>
      <c r="D66" t="s">
        <v>44</v>
      </c>
      <c r="E66" t="s">
        <v>20</v>
      </c>
      <c r="F66" t="s">
        <v>277</v>
      </c>
      <c r="H66" t="s">
        <v>278</v>
      </c>
      <c r="K66">
        <v>1926</v>
      </c>
      <c r="L66" t="s">
        <v>252</v>
      </c>
      <c r="M66" t="s">
        <v>24</v>
      </c>
      <c r="N66" t="s">
        <v>31</v>
      </c>
      <c r="Q66" s="11" t="s">
        <v>277</v>
      </c>
      <c r="R66" s="12" t="s">
        <v>275</v>
      </c>
      <c r="S66" s="12" t="s">
        <v>275</v>
      </c>
      <c r="T66" s="12" t="b">
        <v>1</v>
      </c>
      <c r="U66" s="12">
        <v>1</v>
      </c>
      <c r="V66" s="12">
        <v>955.01670000000001</v>
      </c>
      <c r="W66" s="12" t="s">
        <v>275</v>
      </c>
      <c r="X66" s="12" t="b">
        <v>1</v>
      </c>
      <c r="Y66" s="12">
        <v>1</v>
      </c>
      <c r="Z66" s="13" t="b">
        <v>1</v>
      </c>
    </row>
    <row r="67" spans="1:26">
      <c r="A67" t="s">
        <v>279</v>
      </c>
      <c r="B67" t="s">
        <v>280</v>
      </c>
      <c r="C67" t="s">
        <v>281</v>
      </c>
      <c r="D67" t="s">
        <v>79</v>
      </c>
      <c r="E67" t="s">
        <v>20</v>
      </c>
      <c r="F67" t="s">
        <v>282</v>
      </c>
      <c r="H67" t="s">
        <v>82</v>
      </c>
      <c r="K67" t="s">
        <v>283</v>
      </c>
      <c r="L67" t="s">
        <v>252</v>
      </c>
      <c r="M67" t="s">
        <v>24</v>
      </c>
      <c r="N67" t="s">
        <v>25</v>
      </c>
      <c r="Q67" s="11" t="s">
        <v>282</v>
      </c>
      <c r="R67" s="12" t="s">
        <v>280</v>
      </c>
      <c r="S67" s="12" t="s">
        <v>280</v>
      </c>
      <c r="T67" s="12" t="b">
        <v>1</v>
      </c>
      <c r="U67" s="12">
        <v>0.91859999999999997</v>
      </c>
      <c r="V67" s="12">
        <v>355.9667</v>
      </c>
      <c r="W67" s="12" t="s">
        <v>1018</v>
      </c>
      <c r="X67" s="12" t="b">
        <v>1</v>
      </c>
      <c r="Y67" s="12">
        <v>1</v>
      </c>
      <c r="Z67" s="13" t="b">
        <v>1</v>
      </c>
    </row>
    <row r="68" spans="1:26">
      <c r="A68" t="s">
        <v>284</v>
      </c>
      <c r="B68" t="s">
        <v>285</v>
      </c>
      <c r="C68" t="s">
        <v>286</v>
      </c>
      <c r="D68" t="s">
        <v>127</v>
      </c>
      <c r="E68" t="s">
        <v>127</v>
      </c>
      <c r="F68" t="s">
        <v>284</v>
      </c>
      <c r="H68" t="s">
        <v>127</v>
      </c>
      <c r="K68">
        <v>1766</v>
      </c>
      <c r="L68" t="s">
        <v>252</v>
      </c>
      <c r="M68" t="s">
        <v>24</v>
      </c>
      <c r="N68" t="s">
        <v>25</v>
      </c>
      <c r="Q68" s="11" t="s">
        <v>284</v>
      </c>
      <c r="R68" s="12" t="s">
        <v>285</v>
      </c>
      <c r="S68" s="12" t="s">
        <v>285</v>
      </c>
      <c r="T68" s="12" t="b">
        <v>1</v>
      </c>
      <c r="U68" s="12">
        <v>0.96850000000000003</v>
      </c>
      <c r="V68" s="12">
        <v>490.31990000000002</v>
      </c>
      <c r="W68" s="12" t="s">
        <v>1019</v>
      </c>
      <c r="X68" s="12" t="b">
        <v>1</v>
      </c>
      <c r="Y68" s="12">
        <v>1</v>
      </c>
      <c r="Z68" s="13" t="b">
        <v>1</v>
      </c>
    </row>
    <row r="69" spans="1:26">
      <c r="A69" t="s">
        <v>287</v>
      </c>
      <c r="B69" t="s">
        <v>288</v>
      </c>
      <c r="C69" t="s">
        <v>289</v>
      </c>
      <c r="D69" t="s">
        <v>127</v>
      </c>
      <c r="E69" t="s">
        <v>127</v>
      </c>
      <c r="F69" t="s">
        <v>290</v>
      </c>
      <c r="H69" t="s">
        <v>127</v>
      </c>
      <c r="K69">
        <v>1687</v>
      </c>
      <c r="L69" t="s">
        <v>252</v>
      </c>
      <c r="M69" t="s">
        <v>24</v>
      </c>
      <c r="N69" t="s">
        <v>25</v>
      </c>
      <c r="Q69" s="11" t="s">
        <v>290</v>
      </c>
      <c r="R69" s="12" t="s">
        <v>288</v>
      </c>
      <c r="S69" s="12" t="s">
        <v>288</v>
      </c>
      <c r="T69" s="12" t="b">
        <v>1</v>
      </c>
      <c r="U69" s="12">
        <v>0.91749999999999998</v>
      </c>
      <c r="V69" s="12">
        <v>353.56740000000002</v>
      </c>
      <c r="W69" s="12" t="s">
        <v>1020</v>
      </c>
      <c r="X69" s="12" t="b">
        <v>1</v>
      </c>
      <c r="Y69" s="12">
        <v>1</v>
      </c>
      <c r="Z69" s="13" t="b">
        <v>1</v>
      </c>
    </row>
    <row r="70" spans="1:26">
      <c r="A70" t="s">
        <v>291</v>
      </c>
      <c r="B70" t="s">
        <v>292</v>
      </c>
      <c r="C70" t="s">
        <v>293</v>
      </c>
      <c r="D70" t="s">
        <v>19</v>
      </c>
      <c r="E70" t="s">
        <v>20</v>
      </c>
      <c r="F70" t="s">
        <v>291</v>
      </c>
      <c r="H70" t="s">
        <v>294</v>
      </c>
      <c r="K70" t="s">
        <v>295</v>
      </c>
      <c r="L70" t="s">
        <v>252</v>
      </c>
      <c r="M70" t="s">
        <v>24</v>
      </c>
      <c r="N70" t="s">
        <v>25</v>
      </c>
      <c r="Q70" s="11" t="s">
        <v>291</v>
      </c>
      <c r="R70" s="12" t="s">
        <v>292</v>
      </c>
      <c r="S70" s="12" t="s">
        <v>292</v>
      </c>
      <c r="T70" s="12" t="b">
        <v>1</v>
      </c>
      <c r="U70" s="12">
        <v>0.90880000000000005</v>
      </c>
      <c r="V70" s="12">
        <v>334.22239999999999</v>
      </c>
      <c r="W70" s="12" t="s">
        <v>1021</v>
      </c>
      <c r="X70" s="12" t="b">
        <v>1</v>
      </c>
      <c r="Y70" s="12">
        <v>1</v>
      </c>
      <c r="Z70" s="13" t="b">
        <v>1</v>
      </c>
    </row>
    <row r="71" spans="1:26">
      <c r="A71" t="s">
        <v>296</v>
      </c>
      <c r="B71" t="s">
        <v>297</v>
      </c>
      <c r="C71" t="s">
        <v>298</v>
      </c>
      <c r="D71" t="s">
        <v>19</v>
      </c>
      <c r="E71" t="s">
        <v>20</v>
      </c>
      <c r="F71" t="s">
        <v>299</v>
      </c>
      <c r="H71" t="s">
        <v>300</v>
      </c>
      <c r="K71" t="s">
        <v>301</v>
      </c>
      <c r="L71" t="s">
        <v>252</v>
      </c>
      <c r="M71" t="s">
        <v>24</v>
      </c>
      <c r="N71" t="s">
        <v>25</v>
      </c>
      <c r="Q71" s="11" t="s">
        <v>299</v>
      </c>
      <c r="R71" s="12" t="s">
        <v>297</v>
      </c>
      <c r="S71" s="12" t="s">
        <v>297</v>
      </c>
      <c r="T71" s="12" t="b">
        <v>1</v>
      </c>
      <c r="U71" s="12">
        <v>0.97060000000000002</v>
      </c>
      <c r="V71" s="12">
        <v>497.0403</v>
      </c>
      <c r="W71" s="12" t="s">
        <v>1022</v>
      </c>
      <c r="X71" s="12" t="b">
        <v>1</v>
      </c>
      <c r="Y71" s="12">
        <v>1</v>
      </c>
      <c r="Z71" s="13" t="b">
        <v>1</v>
      </c>
    </row>
    <row r="72" spans="1:26">
      <c r="A72" t="s">
        <v>302</v>
      </c>
      <c r="B72" t="s">
        <v>100</v>
      </c>
      <c r="C72" t="s">
        <v>303</v>
      </c>
      <c r="D72" t="s">
        <v>79</v>
      </c>
      <c r="E72" t="s">
        <v>79</v>
      </c>
      <c r="F72" t="s">
        <v>304</v>
      </c>
      <c r="H72" t="s">
        <v>82</v>
      </c>
      <c r="K72" t="s">
        <v>305</v>
      </c>
      <c r="L72" t="s">
        <v>252</v>
      </c>
      <c r="M72" t="s">
        <v>24</v>
      </c>
      <c r="N72" t="s">
        <v>31</v>
      </c>
      <c r="Q72" s="11" t="s">
        <v>304</v>
      </c>
      <c r="R72" s="12" t="s">
        <v>100</v>
      </c>
      <c r="S72" s="12" t="s">
        <v>100</v>
      </c>
      <c r="T72" s="12" t="b">
        <v>1</v>
      </c>
      <c r="U72" s="12">
        <v>1</v>
      </c>
      <c r="V72" s="12">
        <v>606.16250000000002</v>
      </c>
      <c r="W72" s="12" t="s">
        <v>996</v>
      </c>
      <c r="X72" s="12" t="b">
        <v>1</v>
      </c>
      <c r="Y72" s="12">
        <v>1</v>
      </c>
      <c r="Z72" s="13" t="b">
        <v>1</v>
      </c>
    </row>
    <row r="73" spans="1:26">
      <c r="A73" t="s">
        <v>306</v>
      </c>
      <c r="B73" t="s">
        <v>307</v>
      </c>
      <c r="C73" t="s">
        <v>308</v>
      </c>
      <c r="D73" t="s">
        <v>19</v>
      </c>
      <c r="E73" t="s">
        <v>20</v>
      </c>
      <c r="F73" t="s">
        <v>309</v>
      </c>
      <c r="H73" t="s">
        <v>310</v>
      </c>
      <c r="K73" t="s">
        <v>311</v>
      </c>
      <c r="L73" t="s">
        <v>252</v>
      </c>
      <c r="M73" t="s">
        <v>24</v>
      </c>
      <c r="N73" t="s">
        <v>25</v>
      </c>
      <c r="Q73" s="11" t="s">
        <v>309</v>
      </c>
      <c r="R73" s="12" t="s">
        <v>307</v>
      </c>
      <c r="S73" s="12" t="s">
        <v>307</v>
      </c>
      <c r="T73" s="12" t="b">
        <v>1</v>
      </c>
      <c r="U73" s="12">
        <v>0.91790000000000005</v>
      </c>
      <c r="V73" s="12">
        <v>354.31740000000002</v>
      </c>
      <c r="W73" s="12" t="s">
        <v>307</v>
      </c>
      <c r="X73" s="12" t="b">
        <v>1</v>
      </c>
      <c r="Y73" s="12">
        <v>1</v>
      </c>
      <c r="Z73" s="13" t="b">
        <v>1</v>
      </c>
    </row>
    <row r="74" spans="1:26">
      <c r="A74" t="s">
        <v>184</v>
      </c>
      <c r="B74" t="s">
        <v>185</v>
      </c>
      <c r="C74" t="s">
        <v>186</v>
      </c>
      <c r="D74" t="s">
        <v>19</v>
      </c>
      <c r="E74" t="s">
        <v>20</v>
      </c>
      <c r="F74" t="s">
        <v>185</v>
      </c>
      <c r="L74" t="s">
        <v>312</v>
      </c>
      <c r="M74" t="s">
        <v>24</v>
      </c>
      <c r="N74" t="s">
        <v>25</v>
      </c>
      <c r="Q74" s="11" t="s">
        <v>185</v>
      </c>
      <c r="R74" s="12" t="s">
        <v>185</v>
      </c>
      <c r="S74" s="12" t="s">
        <v>185</v>
      </c>
      <c r="T74" s="12" t="b">
        <v>1</v>
      </c>
      <c r="U74" s="12">
        <v>0.98780000000000001</v>
      </c>
      <c r="V74" s="12">
        <v>554.98620000000005</v>
      </c>
      <c r="W74" s="12" t="s">
        <v>1023</v>
      </c>
      <c r="X74" s="12" t="b">
        <v>1</v>
      </c>
      <c r="Y74" s="12">
        <v>1</v>
      </c>
      <c r="Z74" s="13" t="b">
        <v>1</v>
      </c>
    </row>
    <row r="75" spans="1:26">
      <c r="A75" t="s">
        <v>313</v>
      </c>
      <c r="B75" t="s">
        <v>221</v>
      </c>
      <c r="C75" t="s">
        <v>314</v>
      </c>
      <c r="D75" t="s">
        <v>127</v>
      </c>
      <c r="E75" t="s">
        <v>127</v>
      </c>
      <c r="F75" t="s">
        <v>221</v>
      </c>
      <c r="L75" t="s">
        <v>312</v>
      </c>
      <c r="M75" t="s">
        <v>24</v>
      </c>
      <c r="N75" t="s">
        <v>25</v>
      </c>
      <c r="Q75" s="11" t="s">
        <v>221</v>
      </c>
      <c r="R75" s="12" t="s">
        <v>221</v>
      </c>
      <c r="S75" s="12" t="s">
        <v>221</v>
      </c>
      <c r="T75" s="12" t="b">
        <v>1</v>
      </c>
      <c r="U75" s="12">
        <v>1</v>
      </c>
      <c r="V75" s="12">
        <v>731.15110000000004</v>
      </c>
      <c r="W75" s="12" t="s">
        <v>221</v>
      </c>
      <c r="X75" s="12" t="b">
        <v>1</v>
      </c>
      <c r="Y75" s="12">
        <v>1</v>
      </c>
      <c r="Z75" s="13" t="b">
        <v>1</v>
      </c>
    </row>
    <row r="76" spans="1:26">
      <c r="A76" t="s">
        <v>315</v>
      </c>
      <c r="B76" t="s">
        <v>316</v>
      </c>
      <c r="C76" t="s">
        <v>317</v>
      </c>
      <c r="D76" t="s">
        <v>44</v>
      </c>
      <c r="E76" t="s">
        <v>20</v>
      </c>
      <c r="F76" t="s">
        <v>316</v>
      </c>
      <c r="L76" t="s">
        <v>312</v>
      </c>
      <c r="M76" t="s">
        <v>24</v>
      </c>
      <c r="N76" t="s">
        <v>25</v>
      </c>
      <c r="Q76" s="11" t="s">
        <v>316</v>
      </c>
      <c r="R76" s="12" t="s">
        <v>316</v>
      </c>
      <c r="S76" s="12" t="s">
        <v>316</v>
      </c>
      <c r="T76" s="12" t="b">
        <v>1</v>
      </c>
      <c r="U76" s="12">
        <v>1</v>
      </c>
      <c r="V76" s="12">
        <v>997.27070000000003</v>
      </c>
      <c r="W76" s="12" t="s">
        <v>1024</v>
      </c>
      <c r="X76" s="12" t="b">
        <v>1</v>
      </c>
      <c r="Y76" s="12">
        <v>1</v>
      </c>
      <c r="Z76" s="13" t="b">
        <v>1</v>
      </c>
    </row>
    <row r="77" spans="1:26">
      <c r="A77" t="s">
        <v>318</v>
      </c>
      <c r="B77" t="s">
        <v>316</v>
      </c>
      <c r="C77" t="s">
        <v>319</v>
      </c>
      <c r="D77" t="s">
        <v>127</v>
      </c>
      <c r="E77" t="s">
        <v>127</v>
      </c>
      <c r="F77" t="s">
        <v>316</v>
      </c>
      <c r="L77" t="s">
        <v>312</v>
      </c>
      <c r="M77" t="s">
        <v>24</v>
      </c>
      <c r="N77" t="s">
        <v>25</v>
      </c>
      <c r="Q77" s="11" t="s">
        <v>316</v>
      </c>
      <c r="R77" s="12" t="s">
        <v>316</v>
      </c>
      <c r="S77" s="12" t="s">
        <v>316</v>
      </c>
      <c r="T77" s="12" t="b">
        <v>1</v>
      </c>
      <c r="U77" s="12">
        <v>1</v>
      </c>
      <c r="V77" s="12">
        <v>997.27070000000003</v>
      </c>
      <c r="W77" s="12" t="s">
        <v>1024</v>
      </c>
      <c r="X77" s="12" t="b">
        <v>1</v>
      </c>
      <c r="Y77" s="12">
        <v>1</v>
      </c>
      <c r="Z77" s="13" t="b">
        <v>1</v>
      </c>
    </row>
    <row r="78" spans="1:26">
      <c r="A78" t="s">
        <v>320</v>
      </c>
      <c r="B78" t="s">
        <v>321</v>
      </c>
      <c r="C78" t="s">
        <v>322</v>
      </c>
      <c r="D78" t="s">
        <v>127</v>
      </c>
      <c r="E78" t="s">
        <v>127</v>
      </c>
      <c r="F78" t="s">
        <v>321</v>
      </c>
      <c r="L78" t="s">
        <v>312</v>
      </c>
      <c r="M78" t="s">
        <v>24</v>
      </c>
      <c r="N78" t="s">
        <v>25</v>
      </c>
      <c r="Q78" s="11" t="s">
        <v>321</v>
      </c>
      <c r="R78" s="12" t="s">
        <v>321</v>
      </c>
      <c r="S78" s="12" t="s">
        <v>321</v>
      </c>
      <c r="T78" s="12" t="b">
        <v>1</v>
      </c>
      <c r="U78" s="12">
        <v>1</v>
      </c>
      <c r="V78" s="12">
        <v>757.34230000000002</v>
      </c>
      <c r="W78" s="12" t="s">
        <v>1025</v>
      </c>
      <c r="X78" s="12" t="b">
        <v>1</v>
      </c>
      <c r="Y78" s="12">
        <v>1</v>
      </c>
      <c r="Z78" s="13" t="b">
        <v>1</v>
      </c>
    </row>
    <row r="79" spans="1:26">
      <c r="A79" t="s">
        <v>324</v>
      </c>
      <c r="B79" t="s">
        <v>148</v>
      </c>
      <c r="C79" t="s">
        <v>325</v>
      </c>
      <c r="D79" t="s">
        <v>79</v>
      </c>
      <c r="E79" t="s">
        <v>20</v>
      </c>
      <c r="F79" t="s">
        <v>148</v>
      </c>
      <c r="L79" t="s">
        <v>312</v>
      </c>
      <c r="M79" t="s">
        <v>24</v>
      </c>
      <c r="N79" t="s">
        <v>25</v>
      </c>
      <c r="Q79" s="11" t="s">
        <v>148</v>
      </c>
      <c r="R79" s="12" t="s">
        <v>148</v>
      </c>
      <c r="S79" s="12" t="s">
        <v>148</v>
      </c>
      <c r="T79" s="12" t="b">
        <v>1</v>
      </c>
      <c r="U79" s="12">
        <v>0.89759999999999995</v>
      </c>
      <c r="V79" s="12">
        <v>311.14839999999998</v>
      </c>
      <c r="W79" s="12" t="s">
        <v>1026</v>
      </c>
      <c r="X79" s="12" t="b">
        <v>1</v>
      </c>
      <c r="Y79" s="12">
        <v>1</v>
      </c>
      <c r="Z79" s="13" t="b">
        <v>1</v>
      </c>
    </row>
    <row r="80" spans="1:26">
      <c r="A80" t="s">
        <v>326</v>
      </c>
      <c r="B80" t="s">
        <v>100</v>
      </c>
      <c r="C80" t="s">
        <v>101</v>
      </c>
      <c r="D80" t="s">
        <v>44</v>
      </c>
      <c r="E80" t="s">
        <v>20</v>
      </c>
      <c r="F80" t="s">
        <v>100</v>
      </c>
      <c r="L80" t="s">
        <v>312</v>
      </c>
      <c r="M80" t="s">
        <v>24</v>
      </c>
      <c r="N80" t="s">
        <v>25</v>
      </c>
      <c r="Q80" s="11" t="s">
        <v>100</v>
      </c>
      <c r="R80" s="12" t="s">
        <v>100</v>
      </c>
      <c r="S80" s="12" t="s">
        <v>100</v>
      </c>
      <c r="T80" s="12" t="b">
        <v>1</v>
      </c>
      <c r="U80" s="12">
        <v>1</v>
      </c>
      <c r="V80" s="12">
        <v>908.45640000000003</v>
      </c>
      <c r="W80" s="12" t="s">
        <v>1027</v>
      </c>
      <c r="X80" s="12" t="b">
        <v>1</v>
      </c>
      <c r="Y80" s="12">
        <v>1</v>
      </c>
      <c r="Z80" s="13" t="b">
        <v>1</v>
      </c>
    </row>
    <row r="81" spans="1:26">
      <c r="A81" t="s">
        <v>199</v>
      </c>
      <c r="B81" t="s">
        <v>200</v>
      </c>
      <c r="C81" t="s">
        <v>201</v>
      </c>
      <c r="D81" t="s">
        <v>19</v>
      </c>
      <c r="E81" t="s">
        <v>20</v>
      </c>
      <c r="F81" t="s">
        <v>200</v>
      </c>
      <c r="L81" t="s">
        <v>312</v>
      </c>
      <c r="M81" t="s">
        <v>24</v>
      </c>
      <c r="N81" t="s">
        <v>25</v>
      </c>
      <c r="Q81" s="11" t="s">
        <v>200</v>
      </c>
      <c r="R81" s="12" t="s">
        <v>200</v>
      </c>
      <c r="S81" s="12" t="s">
        <v>200</v>
      </c>
      <c r="T81" s="12" t="b">
        <v>1</v>
      </c>
      <c r="U81" s="12">
        <v>0.95199999999999996</v>
      </c>
      <c r="V81" s="12">
        <v>440.99259999999998</v>
      </c>
      <c r="W81" s="12" t="s">
        <v>200</v>
      </c>
      <c r="X81" s="12" t="b">
        <v>1</v>
      </c>
      <c r="Y81" s="12">
        <v>1</v>
      </c>
      <c r="Z81" s="13" t="b">
        <v>1</v>
      </c>
    </row>
    <row r="82" spans="1:26">
      <c r="A82" t="s">
        <v>327</v>
      </c>
      <c r="B82" t="s">
        <v>328</v>
      </c>
      <c r="C82" t="s">
        <v>329</v>
      </c>
      <c r="D82" t="s">
        <v>127</v>
      </c>
      <c r="E82" t="s">
        <v>127</v>
      </c>
      <c r="F82" t="s">
        <v>328</v>
      </c>
      <c r="L82" t="s">
        <v>312</v>
      </c>
      <c r="M82" t="s">
        <v>24</v>
      </c>
      <c r="N82" t="s">
        <v>25</v>
      </c>
      <c r="Q82" s="11" t="s">
        <v>328</v>
      </c>
      <c r="R82" s="12" t="s">
        <v>328</v>
      </c>
      <c r="S82" s="12" t="s">
        <v>328</v>
      </c>
      <c r="T82" s="12" t="b">
        <v>1</v>
      </c>
      <c r="U82" s="12">
        <v>1</v>
      </c>
      <c r="V82" s="12">
        <v>619.18110000000001</v>
      </c>
      <c r="W82" s="12" t="s">
        <v>328</v>
      </c>
      <c r="X82" s="12" t="b">
        <v>1</v>
      </c>
      <c r="Y82" s="12">
        <v>1</v>
      </c>
      <c r="Z82" s="13" t="b">
        <v>1</v>
      </c>
    </row>
    <row r="83" spans="1:26">
      <c r="A83" t="s">
        <v>330</v>
      </c>
      <c r="B83" t="s">
        <v>331</v>
      </c>
      <c r="C83" t="s">
        <v>332</v>
      </c>
      <c r="D83" t="s">
        <v>79</v>
      </c>
      <c r="E83" t="s">
        <v>20</v>
      </c>
      <c r="G83" t="s">
        <v>330</v>
      </c>
      <c r="L83" t="s">
        <v>334</v>
      </c>
      <c r="M83" t="s">
        <v>24</v>
      </c>
      <c r="N83" t="s">
        <v>31</v>
      </c>
      <c r="Q83" s="11" t="s">
        <v>330</v>
      </c>
      <c r="R83" s="12" t="s">
        <v>331</v>
      </c>
      <c r="S83" s="12" t="s">
        <v>331</v>
      </c>
      <c r="T83" s="12" t="b">
        <v>1</v>
      </c>
      <c r="U83" s="12">
        <v>0.74139999999999995</v>
      </c>
      <c r="V83" s="12">
        <v>216.80889999999999</v>
      </c>
      <c r="W83" s="12" t="s">
        <v>1028</v>
      </c>
      <c r="X83" s="12" t="b">
        <v>1</v>
      </c>
      <c r="Y83" s="12">
        <v>1</v>
      </c>
      <c r="Z83" s="13" t="b">
        <v>1</v>
      </c>
    </row>
    <row r="84" spans="1:26">
      <c r="A84" t="s">
        <v>335</v>
      </c>
      <c r="B84" t="s">
        <v>335</v>
      </c>
      <c r="C84" t="s">
        <v>336</v>
      </c>
      <c r="D84" t="s">
        <v>79</v>
      </c>
      <c r="E84" t="s">
        <v>20</v>
      </c>
      <c r="G84" t="s">
        <v>338</v>
      </c>
      <c r="L84" t="s">
        <v>334</v>
      </c>
      <c r="M84" t="s">
        <v>24</v>
      </c>
      <c r="N84" t="s">
        <v>31</v>
      </c>
      <c r="Q84" s="11" t="s">
        <v>338</v>
      </c>
      <c r="R84" s="12" t="s">
        <v>335</v>
      </c>
      <c r="S84" s="12" t="s">
        <v>335</v>
      </c>
      <c r="T84" s="12" t="b">
        <v>1</v>
      </c>
      <c r="U84" s="12">
        <v>1.1128</v>
      </c>
      <c r="V84" s="12">
        <v>343.05579999999998</v>
      </c>
      <c r="W84" s="12" t="s">
        <v>1029</v>
      </c>
      <c r="X84" s="12" t="b">
        <v>1</v>
      </c>
      <c r="Y84" s="12">
        <v>1</v>
      </c>
      <c r="Z84" s="13" t="b">
        <v>1</v>
      </c>
    </row>
    <row r="85" spans="1:26">
      <c r="A85" t="s">
        <v>339</v>
      </c>
      <c r="B85" t="s">
        <v>340</v>
      </c>
      <c r="C85" t="s">
        <v>341</v>
      </c>
      <c r="D85" t="s">
        <v>127</v>
      </c>
      <c r="E85" t="s">
        <v>127</v>
      </c>
      <c r="G85" t="s">
        <v>342</v>
      </c>
      <c r="L85" t="s">
        <v>334</v>
      </c>
      <c r="M85" t="s">
        <v>24</v>
      </c>
      <c r="N85" t="s">
        <v>31</v>
      </c>
      <c r="Q85" s="11" t="s">
        <v>342</v>
      </c>
      <c r="R85" s="12" t="s">
        <v>340</v>
      </c>
      <c r="S85" s="12" t="s">
        <v>340</v>
      </c>
      <c r="T85" s="12" t="b">
        <v>1</v>
      </c>
      <c r="U85" s="12">
        <v>1.2</v>
      </c>
      <c r="V85" s="12">
        <v>750.45669999999996</v>
      </c>
      <c r="W85" s="12" t="s">
        <v>340</v>
      </c>
      <c r="X85" s="12" t="b">
        <v>1</v>
      </c>
      <c r="Y85" s="12">
        <v>1</v>
      </c>
      <c r="Z85" s="13" t="b">
        <v>1</v>
      </c>
    </row>
    <row r="86" spans="1:26">
      <c r="A86" t="s">
        <v>343</v>
      </c>
      <c r="B86" t="s">
        <v>344</v>
      </c>
      <c r="C86" t="s">
        <v>345</v>
      </c>
      <c r="D86" t="s">
        <v>19</v>
      </c>
      <c r="E86" t="s">
        <v>20</v>
      </c>
      <c r="G86" t="s">
        <v>347</v>
      </c>
      <c r="L86" t="s">
        <v>334</v>
      </c>
      <c r="M86" t="s">
        <v>24</v>
      </c>
      <c r="N86" t="s">
        <v>25</v>
      </c>
      <c r="Q86" s="11" t="s">
        <v>347</v>
      </c>
      <c r="R86" s="12" t="s">
        <v>344</v>
      </c>
      <c r="S86" s="12" t="s">
        <v>344</v>
      </c>
      <c r="T86" s="12" t="b">
        <v>1</v>
      </c>
      <c r="U86" s="12">
        <v>1.0226</v>
      </c>
      <c r="V86" s="12">
        <v>192.10599999999999</v>
      </c>
      <c r="W86" s="12" t="s">
        <v>1030</v>
      </c>
      <c r="X86" s="12" t="b">
        <v>1</v>
      </c>
      <c r="Y86" s="12">
        <v>1</v>
      </c>
      <c r="Z86" s="13" t="b">
        <v>1</v>
      </c>
    </row>
    <row r="87" spans="1:26">
      <c r="A87" t="s">
        <v>348</v>
      </c>
      <c r="B87" t="s">
        <v>349</v>
      </c>
      <c r="C87" t="s">
        <v>350</v>
      </c>
      <c r="D87" t="s">
        <v>127</v>
      </c>
      <c r="E87" t="s">
        <v>127</v>
      </c>
      <c r="G87" t="s">
        <v>352</v>
      </c>
      <c r="L87" t="s">
        <v>334</v>
      </c>
      <c r="M87" t="s">
        <v>24</v>
      </c>
      <c r="N87" t="s">
        <v>25</v>
      </c>
      <c r="Q87" s="11" t="s">
        <v>352</v>
      </c>
      <c r="R87" s="12" t="s">
        <v>349</v>
      </c>
      <c r="S87" s="12" t="s">
        <v>349</v>
      </c>
      <c r="T87" s="12" t="b">
        <v>1</v>
      </c>
      <c r="U87" s="12">
        <v>1.1599999999999999</v>
      </c>
      <c r="V87" s="12">
        <v>464.28930000000003</v>
      </c>
      <c r="W87" s="12" t="s">
        <v>1031</v>
      </c>
      <c r="X87" s="12" t="b">
        <v>1</v>
      </c>
      <c r="Y87" s="12">
        <v>1</v>
      </c>
      <c r="Z87" s="13" t="b">
        <v>1</v>
      </c>
    </row>
    <row r="88" spans="1:26">
      <c r="A88" t="s">
        <v>353</v>
      </c>
      <c r="B88" t="s">
        <v>241</v>
      </c>
      <c r="C88" t="s">
        <v>242</v>
      </c>
      <c r="D88" t="s">
        <v>19</v>
      </c>
      <c r="E88" t="s">
        <v>20</v>
      </c>
      <c r="G88" t="s">
        <v>355</v>
      </c>
      <c r="L88" t="s">
        <v>334</v>
      </c>
      <c r="M88" t="s">
        <v>24</v>
      </c>
      <c r="N88" t="s">
        <v>31</v>
      </c>
      <c r="Q88" s="11" t="s">
        <v>355</v>
      </c>
      <c r="R88" s="12" t="s">
        <v>241</v>
      </c>
      <c r="S88" s="12" t="s">
        <v>241</v>
      </c>
      <c r="T88" s="12" t="b">
        <v>1</v>
      </c>
      <c r="U88" s="12">
        <v>0.94679999999999997</v>
      </c>
      <c r="V88" s="12">
        <v>117.937</v>
      </c>
      <c r="W88" s="12" t="s">
        <v>1032</v>
      </c>
      <c r="X88" s="12" t="b">
        <v>1</v>
      </c>
      <c r="Y88" s="12">
        <v>1</v>
      </c>
      <c r="Z88" s="13" t="b">
        <v>1</v>
      </c>
    </row>
    <row r="89" spans="1:26">
      <c r="A89" s="2" t="s">
        <v>356</v>
      </c>
      <c r="B89" s="2" t="s">
        <v>266</v>
      </c>
      <c r="C89" s="2" t="s">
        <v>357</v>
      </c>
      <c r="D89" s="2" t="s">
        <v>79</v>
      </c>
      <c r="E89" s="2" t="s">
        <v>20</v>
      </c>
      <c r="F89" s="2"/>
      <c r="G89" s="2" t="s">
        <v>358</v>
      </c>
      <c r="H89" s="2"/>
      <c r="I89" s="2"/>
      <c r="J89" s="2"/>
      <c r="K89" s="2"/>
      <c r="L89" s="2" t="s">
        <v>334</v>
      </c>
      <c r="M89" s="2" t="s">
        <v>24</v>
      </c>
      <c r="N89" s="2" t="s">
        <v>49</v>
      </c>
      <c r="Q89" s="11" t="s">
        <v>358</v>
      </c>
      <c r="R89" s="12" t="s">
        <v>266</v>
      </c>
      <c r="S89" s="12"/>
      <c r="T89" s="12" t="b">
        <v>0</v>
      </c>
      <c r="U89" s="12"/>
      <c r="V89" s="12"/>
      <c r="W89" s="12" t="s">
        <v>1033</v>
      </c>
      <c r="X89" s="12" t="b">
        <v>1</v>
      </c>
      <c r="Y89" s="12">
        <v>2</v>
      </c>
      <c r="Z89" s="13" t="b">
        <v>0</v>
      </c>
    </row>
    <row r="90" spans="1:26">
      <c r="A90" t="s">
        <v>359</v>
      </c>
      <c r="B90" t="s">
        <v>360</v>
      </c>
      <c r="C90" t="s">
        <v>361</v>
      </c>
      <c r="D90" t="s">
        <v>127</v>
      </c>
      <c r="E90" t="s">
        <v>127</v>
      </c>
      <c r="G90" t="s">
        <v>363</v>
      </c>
      <c r="L90" t="s">
        <v>334</v>
      </c>
      <c r="M90" t="s">
        <v>24</v>
      </c>
      <c r="N90" t="s">
        <v>25</v>
      </c>
      <c r="Q90" s="11" t="s">
        <v>363</v>
      </c>
      <c r="R90" s="12" t="s">
        <v>360</v>
      </c>
      <c r="S90" s="12" t="s">
        <v>1034</v>
      </c>
      <c r="T90" s="12" t="b">
        <v>0</v>
      </c>
      <c r="U90" s="12">
        <v>0.98180000000000001</v>
      </c>
      <c r="V90" s="12">
        <v>147.76079999999999</v>
      </c>
      <c r="W90" s="12" t="s">
        <v>1035</v>
      </c>
      <c r="X90" s="12" t="b">
        <v>1</v>
      </c>
      <c r="Y90" s="12">
        <v>5</v>
      </c>
      <c r="Z90" s="13" t="b">
        <v>1</v>
      </c>
    </row>
    <row r="91" spans="1:26">
      <c r="A91" t="s">
        <v>364</v>
      </c>
      <c r="B91" t="s">
        <v>365</v>
      </c>
      <c r="C91" t="s">
        <v>366</v>
      </c>
      <c r="D91" t="s">
        <v>19</v>
      </c>
      <c r="E91" t="s">
        <v>20</v>
      </c>
      <c r="G91" t="s">
        <v>368</v>
      </c>
      <c r="L91" t="s">
        <v>334</v>
      </c>
      <c r="M91" t="s">
        <v>24</v>
      </c>
      <c r="N91" t="s">
        <v>25</v>
      </c>
      <c r="Q91" s="11" t="s">
        <v>368</v>
      </c>
      <c r="R91" s="12" t="s">
        <v>365</v>
      </c>
      <c r="S91" s="12" t="s">
        <v>200</v>
      </c>
      <c r="T91" s="12" t="b">
        <v>0</v>
      </c>
      <c r="U91" s="12">
        <v>0.80730000000000002</v>
      </c>
      <c r="V91" s="12">
        <v>47.7029</v>
      </c>
      <c r="W91" s="12" t="s">
        <v>1036</v>
      </c>
      <c r="X91" s="12" t="b">
        <v>1</v>
      </c>
      <c r="Y91" s="12">
        <v>5</v>
      </c>
      <c r="Z91" s="13" t="b">
        <v>1</v>
      </c>
    </row>
    <row r="92" spans="1:26">
      <c r="A92" t="s">
        <v>37</v>
      </c>
      <c r="B92" t="s">
        <v>38</v>
      </c>
      <c r="C92" t="s">
        <v>369</v>
      </c>
      <c r="D92" t="s">
        <v>127</v>
      </c>
      <c r="E92" t="s">
        <v>127</v>
      </c>
      <c r="G92" t="s">
        <v>371</v>
      </c>
      <c r="L92" t="s">
        <v>372</v>
      </c>
      <c r="M92" t="s">
        <v>24</v>
      </c>
      <c r="N92" t="s">
        <v>31</v>
      </c>
      <c r="Q92" s="11" t="s">
        <v>371</v>
      </c>
      <c r="R92" s="12" t="s">
        <v>38</v>
      </c>
      <c r="S92" s="12" t="s">
        <v>38</v>
      </c>
      <c r="T92" s="12" t="b">
        <v>1</v>
      </c>
      <c r="U92" s="12">
        <v>0.81559999999999999</v>
      </c>
      <c r="V92" s="12">
        <v>349.18340000000001</v>
      </c>
      <c r="W92" s="12" t="s">
        <v>1037</v>
      </c>
      <c r="X92" s="12" t="b">
        <v>1</v>
      </c>
      <c r="Y92" s="12">
        <v>1</v>
      </c>
      <c r="Z92" s="13" t="b">
        <v>1</v>
      </c>
    </row>
    <row r="93" spans="1:26">
      <c r="A93" t="s">
        <v>373</v>
      </c>
      <c r="B93" t="s">
        <v>271</v>
      </c>
      <c r="C93" t="s">
        <v>374</v>
      </c>
      <c r="D93" t="s">
        <v>127</v>
      </c>
      <c r="E93" t="s">
        <v>127</v>
      </c>
      <c r="G93" t="s">
        <v>375</v>
      </c>
      <c r="L93" t="s">
        <v>372</v>
      </c>
      <c r="M93" t="s">
        <v>24</v>
      </c>
      <c r="N93" t="s">
        <v>25</v>
      </c>
      <c r="Q93" s="11" t="s">
        <v>375</v>
      </c>
      <c r="R93" s="12" t="s">
        <v>271</v>
      </c>
      <c r="S93" s="12" t="s">
        <v>271</v>
      </c>
      <c r="T93" s="12" t="b">
        <v>1</v>
      </c>
      <c r="U93" s="12">
        <v>1.1588000000000001</v>
      </c>
      <c r="V93" s="12">
        <v>460.84219999999999</v>
      </c>
      <c r="W93" s="12" t="s">
        <v>271</v>
      </c>
      <c r="X93" s="12" t="b">
        <v>1</v>
      </c>
      <c r="Y93" s="12">
        <v>1</v>
      </c>
      <c r="Z93" s="13" t="b">
        <v>1</v>
      </c>
    </row>
    <row r="94" spans="1:26">
      <c r="A94" t="s">
        <v>376</v>
      </c>
      <c r="B94" t="s">
        <v>377</v>
      </c>
      <c r="C94" t="s">
        <v>378</v>
      </c>
      <c r="D94" t="s">
        <v>379</v>
      </c>
      <c r="E94" t="s">
        <v>379</v>
      </c>
      <c r="G94" t="s">
        <v>381</v>
      </c>
      <c r="L94" t="s">
        <v>372</v>
      </c>
      <c r="M94" t="s">
        <v>24</v>
      </c>
      <c r="N94" t="s">
        <v>49</v>
      </c>
      <c r="Q94" s="11" t="s">
        <v>381</v>
      </c>
      <c r="R94" s="12" t="s">
        <v>377</v>
      </c>
      <c r="S94" s="12" t="s">
        <v>377</v>
      </c>
      <c r="T94" s="12" t="b">
        <v>1</v>
      </c>
      <c r="U94" s="12">
        <v>0.76619999999999999</v>
      </c>
      <c r="V94" s="12">
        <v>36.450099999999999</v>
      </c>
      <c r="W94" s="12" t="s">
        <v>1038</v>
      </c>
      <c r="X94" s="12" t="b">
        <v>1</v>
      </c>
      <c r="Y94" s="12">
        <v>1</v>
      </c>
      <c r="Z94" s="13" t="b">
        <v>1</v>
      </c>
    </row>
    <row r="95" spans="1:26">
      <c r="A95" t="s">
        <v>382</v>
      </c>
      <c r="B95" t="s">
        <v>383</v>
      </c>
      <c r="C95" t="s">
        <v>384</v>
      </c>
      <c r="D95" t="s">
        <v>127</v>
      </c>
      <c r="E95" t="s">
        <v>127</v>
      </c>
      <c r="G95" t="s">
        <v>386</v>
      </c>
      <c r="L95" t="s">
        <v>372</v>
      </c>
      <c r="M95" t="s">
        <v>24</v>
      </c>
      <c r="N95" t="s">
        <v>31</v>
      </c>
      <c r="Q95" s="11" t="s">
        <v>386</v>
      </c>
      <c r="R95" s="12" t="s">
        <v>383</v>
      </c>
      <c r="S95" s="12" t="s">
        <v>383</v>
      </c>
      <c r="T95" s="12" t="b">
        <v>1</v>
      </c>
      <c r="U95" s="12">
        <v>1.1755</v>
      </c>
      <c r="V95" s="12">
        <v>512.65679999999998</v>
      </c>
      <c r="W95" s="12" t="s">
        <v>1039</v>
      </c>
      <c r="X95" s="12" t="b">
        <v>1</v>
      </c>
      <c r="Y95" s="12">
        <v>1</v>
      </c>
      <c r="Z95" s="13" t="b">
        <v>1</v>
      </c>
    </row>
    <row r="96" spans="1:26">
      <c r="A96" t="s">
        <v>382</v>
      </c>
      <c r="B96" t="s">
        <v>383</v>
      </c>
      <c r="C96" t="s">
        <v>384</v>
      </c>
      <c r="D96" t="s">
        <v>127</v>
      </c>
      <c r="E96" t="s">
        <v>127</v>
      </c>
      <c r="G96" t="s">
        <v>387</v>
      </c>
      <c r="L96" t="s">
        <v>372</v>
      </c>
      <c r="M96" t="s">
        <v>24</v>
      </c>
      <c r="N96" t="s">
        <v>31</v>
      </c>
      <c r="Q96" s="11" t="s">
        <v>387</v>
      </c>
      <c r="R96" s="12" t="s">
        <v>383</v>
      </c>
      <c r="S96" s="12" t="s">
        <v>383</v>
      </c>
      <c r="T96" s="12" t="b">
        <v>1</v>
      </c>
      <c r="U96" s="12">
        <v>1.1755</v>
      </c>
      <c r="V96" s="12">
        <v>512.65679999999998</v>
      </c>
      <c r="W96" s="12" t="s">
        <v>1039</v>
      </c>
      <c r="X96" s="12" t="b">
        <v>1</v>
      </c>
      <c r="Y96" s="12">
        <v>1</v>
      </c>
      <c r="Z96" s="13" t="b">
        <v>1</v>
      </c>
    </row>
    <row r="97" spans="1:26">
      <c r="A97" t="s">
        <v>388</v>
      </c>
      <c r="B97" t="s">
        <v>389</v>
      </c>
      <c r="C97" t="s">
        <v>390</v>
      </c>
      <c r="D97" t="s">
        <v>127</v>
      </c>
      <c r="E97" t="s">
        <v>127</v>
      </c>
      <c r="G97" t="s">
        <v>392</v>
      </c>
      <c r="L97" t="s">
        <v>372</v>
      </c>
      <c r="M97" t="s">
        <v>24</v>
      </c>
      <c r="N97" t="s">
        <v>25</v>
      </c>
      <c r="Q97" s="11" t="s">
        <v>392</v>
      </c>
      <c r="R97" s="12" t="s">
        <v>389</v>
      </c>
      <c r="S97" s="12" t="s">
        <v>389</v>
      </c>
      <c r="T97" s="12" t="b">
        <v>1</v>
      </c>
      <c r="U97" s="12">
        <v>1.1183000000000001</v>
      </c>
      <c r="V97" s="12">
        <v>355.34890000000001</v>
      </c>
      <c r="W97" s="12" t="s">
        <v>1040</v>
      </c>
      <c r="X97" s="12" t="b">
        <v>1</v>
      </c>
      <c r="Y97" s="12">
        <v>1</v>
      </c>
      <c r="Z97" s="13" t="b">
        <v>1</v>
      </c>
    </row>
    <row r="98" spans="1:26">
      <c r="A98" t="s">
        <v>348</v>
      </c>
      <c r="B98" t="s">
        <v>349</v>
      </c>
      <c r="C98" t="s">
        <v>350</v>
      </c>
      <c r="D98" t="s">
        <v>127</v>
      </c>
      <c r="E98" t="s">
        <v>127</v>
      </c>
      <c r="G98" t="s">
        <v>352</v>
      </c>
      <c r="L98" t="s">
        <v>372</v>
      </c>
      <c r="M98" t="s">
        <v>24</v>
      </c>
      <c r="N98" t="s">
        <v>25</v>
      </c>
      <c r="Q98" s="11" t="s">
        <v>352</v>
      </c>
      <c r="R98" s="12" t="s">
        <v>349</v>
      </c>
      <c r="S98" s="12" t="s">
        <v>349</v>
      </c>
      <c r="T98" s="12" t="b">
        <v>1</v>
      </c>
      <c r="U98" s="12">
        <v>1.1599999999999999</v>
      </c>
      <c r="V98" s="12">
        <v>464.28930000000003</v>
      </c>
      <c r="W98" s="12" t="s">
        <v>1031</v>
      </c>
      <c r="X98" s="12" t="b">
        <v>1</v>
      </c>
      <c r="Y98" s="12">
        <v>1</v>
      </c>
      <c r="Z98" s="13" t="b">
        <v>1</v>
      </c>
    </row>
    <row r="99" spans="1:26">
      <c r="A99" t="s">
        <v>393</v>
      </c>
      <c r="B99" t="s">
        <v>344</v>
      </c>
      <c r="C99" t="s">
        <v>394</v>
      </c>
      <c r="D99" t="s">
        <v>127</v>
      </c>
      <c r="E99" t="s">
        <v>127</v>
      </c>
      <c r="G99" t="s">
        <v>395</v>
      </c>
      <c r="L99" t="s">
        <v>372</v>
      </c>
      <c r="M99" t="s">
        <v>24</v>
      </c>
      <c r="N99" t="s">
        <v>25</v>
      </c>
      <c r="Q99" s="11" t="s">
        <v>395</v>
      </c>
      <c r="R99" s="12" t="s">
        <v>344</v>
      </c>
      <c r="S99" s="12" t="s">
        <v>344</v>
      </c>
      <c r="T99" s="12" t="b">
        <v>1</v>
      </c>
      <c r="U99" s="12">
        <v>0.81789999999999996</v>
      </c>
      <c r="V99" s="12">
        <v>354.31740000000002</v>
      </c>
      <c r="W99" s="12" t="s">
        <v>344</v>
      </c>
      <c r="X99" s="12" t="b">
        <v>1</v>
      </c>
      <c r="Y99" s="12">
        <v>1</v>
      </c>
      <c r="Z99" s="13" t="b">
        <v>1</v>
      </c>
    </row>
    <row r="100" spans="1:26">
      <c r="A100" t="s">
        <v>396</v>
      </c>
      <c r="B100" t="s">
        <v>397</v>
      </c>
      <c r="C100" t="s">
        <v>398</v>
      </c>
      <c r="D100" t="s">
        <v>127</v>
      </c>
      <c r="E100" t="s">
        <v>127</v>
      </c>
      <c r="G100" t="s">
        <v>400</v>
      </c>
      <c r="L100" t="s">
        <v>372</v>
      </c>
      <c r="M100" t="s">
        <v>24</v>
      </c>
      <c r="N100" t="s">
        <v>25</v>
      </c>
      <c r="Q100" s="11" t="s">
        <v>400</v>
      </c>
      <c r="R100" s="12" t="s">
        <v>397</v>
      </c>
      <c r="S100" s="12" t="s">
        <v>397</v>
      </c>
      <c r="T100" s="12" t="b">
        <v>1</v>
      </c>
      <c r="U100" s="12">
        <v>1.0125</v>
      </c>
      <c r="V100" s="12">
        <v>180.0411</v>
      </c>
      <c r="W100" s="12" t="s">
        <v>397</v>
      </c>
      <c r="X100" s="12" t="b">
        <v>1</v>
      </c>
      <c r="Y100" s="12">
        <v>1</v>
      </c>
      <c r="Z100" s="13" t="b">
        <v>1</v>
      </c>
    </row>
    <row r="101" spans="1:26">
      <c r="A101" t="s">
        <v>401</v>
      </c>
      <c r="B101" t="s">
        <v>397</v>
      </c>
      <c r="C101" t="s">
        <v>402</v>
      </c>
      <c r="D101" t="s">
        <v>379</v>
      </c>
      <c r="E101" t="s">
        <v>379</v>
      </c>
      <c r="G101" t="s">
        <v>403</v>
      </c>
      <c r="L101" t="s">
        <v>372</v>
      </c>
      <c r="M101" t="s">
        <v>24</v>
      </c>
      <c r="N101" t="s">
        <v>25</v>
      </c>
      <c r="Q101" s="11" t="s">
        <v>403</v>
      </c>
      <c r="R101" s="12" t="s">
        <v>397</v>
      </c>
      <c r="S101" s="12" t="s">
        <v>397</v>
      </c>
      <c r="T101" s="12" t="b">
        <v>1</v>
      </c>
      <c r="U101" s="12">
        <v>1.0125</v>
      </c>
      <c r="V101" s="12">
        <v>180.0411</v>
      </c>
      <c r="W101" s="12" t="s">
        <v>397</v>
      </c>
      <c r="X101" s="12" t="b">
        <v>1</v>
      </c>
      <c r="Y101" s="12">
        <v>1</v>
      </c>
      <c r="Z101" s="13" t="b">
        <v>1</v>
      </c>
    </row>
    <row r="102" spans="1:26">
      <c r="A102" t="s">
        <v>404</v>
      </c>
      <c r="B102" t="s">
        <v>405</v>
      </c>
      <c r="C102" t="s">
        <v>406</v>
      </c>
      <c r="D102" t="s">
        <v>127</v>
      </c>
      <c r="E102" t="s">
        <v>127</v>
      </c>
      <c r="G102" t="s">
        <v>404</v>
      </c>
      <c r="L102" t="s">
        <v>372</v>
      </c>
      <c r="M102" t="s">
        <v>24</v>
      </c>
      <c r="N102" t="s">
        <v>25</v>
      </c>
      <c r="Q102" s="11" t="s">
        <v>404</v>
      </c>
      <c r="R102" s="12" t="s">
        <v>405</v>
      </c>
      <c r="S102" s="12" t="s">
        <v>405</v>
      </c>
      <c r="T102" s="12" t="b">
        <v>1</v>
      </c>
      <c r="U102" s="12">
        <v>1.0589999999999999</v>
      </c>
      <c r="V102" s="12">
        <v>242.86799999999999</v>
      </c>
      <c r="W102" s="12" t="s">
        <v>1041</v>
      </c>
      <c r="X102" s="12" t="b">
        <v>1</v>
      </c>
      <c r="Y102" s="12">
        <v>1</v>
      </c>
      <c r="Z102" s="13" t="b">
        <v>1</v>
      </c>
    </row>
    <row r="103" spans="1:26">
      <c r="A103" t="s">
        <v>408</v>
      </c>
      <c r="B103" t="s">
        <v>405</v>
      </c>
      <c r="C103" t="s">
        <v>409</v>
      </c>
      <c r="D103" t="s">
        <v>379</v>
      </c>
      <c r="E103" t="s">
        <v>379</v>
      </c>
      <c r="G103" t="s">
        <v>408</v>
      </c>
      <c r="L103" t="s">
        <v>372</v>
      </c>
      <c r="M103" t="s">
        <v>24</v>
      </c>
      <c r="N103" t="s">
        <v>25</v>
      </c>
      <c r="Q103" s="11" t="s">
        <v>408</v>
      </c>
      <c r="R103" s="12" t="s">
        <v>405</v>
      </c>
      <c r="S103" s="12" t="s">
        <v>405</v>
      </c>
      <c r="T103" s="12" t="b">
        <v>1</v>
      </c>
      <c r="U103" s="12">
        <v>1.0589999999999999</v>
      </c>
      <c r="V103" s="12">
        <v>242.86799999999999</v>
      </c>
      <c r="W103" s="12" t="s">
        <v>1041</v>
      </c>
      <c r="X103" s="12" t="b">
        <v>1</v>
      </c>
      <c r="Y103" s="12">
        <v>1</v>
      </c>
      <c r="Z103" s="13" t="b">
        <v>1</v>
      </c>
    </row>
    <row r="104" spans="1:26">
      <c r="A104" t="s">
        <v>410</v>
      </c>
      <c r="B104" t="s">
        <v>410</v>
      </c>
      <c r="C104" t="s">
        <v>411</v>
      </c>
      <c r="D104" t="s">
        <v>127</v>
      </c>
      <c r="E104" t="s">
        <v>127</v>
      </c>
      <c r="G104" t="s">
        <v>412</v>
      </c>
      <c r="L104" t="s">
        <v>372</v>
      </c>
      <c r="M104" t="s">
        <v>24</v>
      </c>
      <c r="N104" t="s">
        <v>31</v>
      </c>
      <c r="Q104" s="11" t="s">
        <v>412</v>
      </c>
      <c r="R104" s="12" t="s">
        <v>410</v>
      </c>
      <c r="S104" s="12" t="s">
        <v>410</v>
      </c>
      <c r="T104" s="12" t="b">
        <v>1</v>
      </c>
      <c r="U104" s="12">
        <v>1.1418999999999999</v>
      </c>
      <c r="V104" s="12">
        <v>413.51949999999999</v>
      </c>
      <c r="W104" s="12" t="s">
        <v>1042</v>
      </c>
      <c r="X104" s="12" t="b">
        <v>1</v>
      </c>
      <c r="Y104" s="12">
        <v>1</v>
      </c>
      <c r="Z104" s="13" t="b">
        <v>1</v>
      </c>
    </row>
    <row r="105" spans="1:26">
      <c r="A105" t="s">
        <v>413</v>
      </c>
      <c r="B105" t="s">
        <v>331</v>
      </c>
      <c r="C105" t="s">
        <v>414</v>
      </c>
      <c r="D105" t="s">
        <v>127</v>
      </c>
      <c r="E105" t="s">
        <v>127</v>
      </c>
      <c r="G105" t="s">
        <v>415</v>
      </c>
      <c r="L105" t="s">
        <v>372</v>
      </c>
      <c r="M105" t="s">
        <v>24</v>
      </c>
      <c r="N105" t="s">
        <v>31</v>
      </c>
    </row>
  </sheetData>
  <autoFilter ref="A9:AE105" xr:uid="{40EA18E2-E055-470C-ACED-5FEBE3241B03}"/>
  <mergeCells count="2">
    <mergeCell ref="A8:E8"/>
    <mergeCell ref="F8:L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18E2-E055-470C-ACED-5FEBE3241B03}">
  <dimension ref="A1:AE104"/>
  <sheetViews>
    <sheetView topLeftCell="AB1" workbookViewId="0">
      <selection activeCell="A98" sqref="A98"/>
    </sheetView>
  </sheetViews>
  <sheetFormatPr defaultRowHeight="15"/>
  <cols>
    <col min="1" max="1" width="27.140625" customWidth="1"/>
    <col min="2" max="2" width="25.140625" customWidth="1"/>
    <col min="3" max="3" width="33.140625" customWidth="1"/>
    <col min="4" max="4" width="23.85546875" customWidth="1"/>
    <col min="5" max="5" width="16.42578125" customWidth="1"/>
    <col min="6" max="6" width="27.140625" customWidth="1"/>
    <col min="7" max="7" width="24.28515625" customWidth="1"/>
    <col min="8" max="8" width="15" customWidth="1"/>
    <col min="12" max="12" width="15" customWidth="1"/>
    <col min="13" max="13" width="16.42578125" customWidth="1"/>
    <col min="14" max="14" width="19.28515625" customWidth="1"/>
    <col min="17" max="17" width="28.85546875" customWidth="1"/>
    <col min="18" max="18" width="19.42578125" customWidth="1"/>
    <col min="19" max="19" width="20.28515625" customWidth="1"/>
    <col min="20" max="20" width="15.85546875" customWidth="1"/>
    <col min="23" max="23" width="22" customWidth="1"/>
    <col min="24" max="24" width="13.140625" customWidth="1"/>
    <col min="25" max="25" width="12.85546875" customWidth="1"/>
    <col min="26" max="26" width="13.5703125" customWidth="1"/>
    <col min="28" max="28" width="25" customWidth="1"/>
    <col min="29" max="29" width="14.7109375" customWidth="1"/>
    <col min="30" max="30" width="11.85546875" customWidth="1"/>
    <col min="31" max="31" width="16.42578125" customWidth="1"/>
    <col min="32" max="32" width="13" customWidth="1"/>
    <col min="33" max="33" width="12.28515625" customWidth="1"/>
    <col min="34" max="34" width="11.5703125" customWidth="1"/>
  </cols>
  <sheetData>
    <row r="1" spans="1:31" ht="70.5" customHeight="1">
      <c r="A1" s="17" t="s">
        <v>980</v>
      </c>
    </row>
    <row r="2" spans="1:31">
      <c r="E2" s="21"/>
      <c r="AB2" s="25" t="s">
        <v>981</v>
      </c>
      <c r="AC2" s="25" t="s">
        <v>982</v>
      </c>
      <c r="AD2" s="25" t="s">
        <v>983</v>
      </c>
      <c r="AE2" s="25" t="s">
        <v>984</v>
      </c>
    </row>
    <row r="3" spans="1:31">
      <c r="AB3" s="26" t="s">
        <v>25</v>
      </c>
      <c r="AC3" s="28">
        <f>COUNTIF($N$10:$N$104,"Company Match")</f>
        <v>49</v>
      </c>
      <c r="AD3" s="28">
        <f>COUNTIFS(N10:N149, AB3,Y10:Y149, "1")</f>
        <v>48</v>
      </c>
      <c r="AE3" s="29">
        <f>IF(AC3&gt;0, AD3/AC3, 0)</f>
        <v>0.97959183673469385</v>
      </c>
    </row>
    <row r="4" spans="1:31">
      <c r="AB4" s="26" t="s">
        <v>31</v>
      </c>
      <c r="AC4" s="28">
        <f>COUNTIF($N$10:$N$104,"Security Match")</f>
        <v>31</v>
      </c>
      <c r="AD4" s="28">
        <f>COUNTIFS(N10:N149, AB4,Y10:Y149,"1")</f>
        <v>31</v>
      </c>
      <c r="AE4" s="29">
        <f>IF(AC4&gt;0, AD4/AC4, 0)</f>
        <v>1</v>
      </c>
    </row>
    <row r="5" spans="1:31">
      <c r="AB5" s="26" t="s">
        <v>49</v>
      </c>
      <c r="AC5" s="28">
        <f>COUNTIF($N$10:$N$104,"Company Knowledge Match")</f>
        <v>15</v>
      </c>
      <c r="AD5" s="28">
        <f>COUNTIFS(N10:N149, AB5,Y10:Y149,"1")</f>
        <v>4</v>
      </c>
      <c r="AE5" s="29">
        <f>IF(AC5&gt;0, AD5/AC5, 0)</f>
        <v>0.26666666666666666</v>
      </c>
    </row>
    <row r="6" spans="1:31">
      <c r="AB6" s="27" t="s">
        <v>985</v>
      </c>
      <c r="AC6" s="30">
        <f>SUM(AC3:AC5)</f>
        <v>95</v>
      </c>
      <c r="AD6" s="30">
        <f>SUM(AD3:AD5)</f>
        <v>83</v>
      </c>
      <c r="AE6" s="31">
        <f>IF(AC6&gt;0, AD6/AC6, 0)</f>
        <v>0.87368421052631584</v>
      </c>
    </row>
    <row r="8" spans="1:31">
      <c r="A8" s="46" t="s">
        <v>429</v>
      </c>
      <c r="B8" s="46"/>
      <c r="C8" s="46"/>
      <c r="D8" s="46"/>
      <c r="E8" s="46"/>
      <c r="F8" s="47" t="s">
        <v>430</v>
      </c>
      <c r="G8" s="47"/>
      <c r="H8" s="47"/>
      <c r="I8" s="47"/>
      <c r="J8" s="47"/>
      <c r="K8" s="47"/>
      <c r="L8" s="47"/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432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Q9" s="19" t="s">
        <v>698</v>
      </c>
      <c r="R9" s="20" t="s">
        <v>878</v>
      </c>
      <c r="S9" s="20" t="s">
        <v>879</v>
      </c>
      <c r="T9" s="20" t="s">
        <v>880</v>
      </c>
      <c r="U9" s="20" t="s">
        <v>701</v>
      </c>
      <c r="V9" s="20" t="s">
        <v>702</v>
      </c>
      <c r="W9" s="20" t="s">
        <v>881</v>
      </c>
      <c r="X9" s="20" t="s">
        <v>882</v>
      </c>
      <c r="Y9" s="20" t="s">
        <v>883</v>
      </c>
      <c r="Z9" s="20" t="s">
        <v>705</v>
      </c>
    </row>
    <row r="10" spans="1:31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16</v>
      </c>
      <c r="G10" t="s">
        <v>21</v>
      </c>
      <c r="H10" t="s">
        <v>22</v>
      </c>
      <c r="L10" t="s">
        <v>23</v>
      </c>
      <c r="M10" t="s">
        <v>24</v>
      </c>
      <c r="N10" t="s">
        <v>25</v>
      </c>
      <c r="Q10" s="11" t="s">
        <v>16</v>
      </c>
      <c r="R10" s="12" t="s">
        <v>17</v>
      </c>
      <c r="S10" s="12" t="s">
        <v>17</v>
      </c>
      <c r="T10" s="12" t="b">
        <v>1</v>
      </c>
      <c r="U10" s="12">
        <v>0.82530000000000003</v>
      </c>
      <c r="V10" s="12">
        <v>195.48699999999999</v>
      </c>
      <c r="W10" s="4" t="s">
        <v>986</v>
      </c>
      <c r="X10" s="12" t="b">
        <v>1</v>
      </c>
      <c r="Y10" s="12">
        <v>1</v>
      </c>
      <c r="Z10" s="13" t="b">
        <v>1</v>
      </c>
    </row>
    <row r="11" spans="1:31">
      <c r="A11" t="s">
        <v>26</v>
      </c>
      <c r="B11" t="s">
        <v>27</v>
      </c>
      <c r="C11" t="s">
        <v>28</v>
      </c>
      <c r="D11" t="s">
        <v>19</v>
      </c>
      <c r="E11" t="s">
        <v>20</v>
      </c>
      <c r="F11" t="s">
        <v>29</v>
      </c>
      <c r="G11" t="s">
        <v>30</v>
      </c>
      <c r="L11" t="s">
        <v>23</v>
      </c>
      <c r="M11" t="s">
        <v>24</v>
      </c>
      <c r="N11" t="s">
        <v>31</v>
      </c>
      <c r="Q11" s="11" t="s">
        <v>29</v>
      </c>
      <c r="R11" s="12" t="s">
        <v>27</v>
      </c>
      <c r="S11" s="12" t="s">
        <v>27</v>
      </c>
      <c r="T11" s="12" t="b">
        <v>1</v>
      </c>
      <c r="U11" s="12">
        <v>0.95679999999999998</v>
      </c>
      <c r="V11" s="12">
        <v>454.76100000000002</v>
      </c>
      <c r="W11" s="5" t="s">
        <v>1043</v>
      </c>
      <c r="X11" s="12" t="b">
        <v>1</v>
      </c>
      <c r="Y11" s="12">
        <v>1</v>
      </c>
      <c r="Z11" s="13" t="b">
        <v>1</v>
      </c>
    </row>
    <row r="12" spans="1:31">
      <c r="A12" t="s">
        <v>32</v>
      </c>
      <c r="B12" t="s">
        <v>33</v>
      </c>
      <c r="C12" t="s">
        <v>34</v>
      </c>
      <c r="D12" t="s">
        <v>19</v>
      </c>
      <c r="E12" t="s">
        <v>20</v>
      </c>
      <c r="F12" t="s">
        <v>32</v>
      </c>
      <c r="G12" t="s">
        <v>35</v>
      </c>
      <c r="H12" t="s">
        <v>22</v>
      </c>
      <c r="I12" t="s">
        <v>36</v>
      </c>
      <c r="L12" t="s">
        <v>23</v>
      </c>
      <c r="M12" t="s">
        <v>24</v>
      </c>
      <c r="N12" t="s">
        <v>31</v>
      </c>
      <c r="Q12" s="11" t="s">
        <v>32</v>
      </c>
      <c r="R12" s="12" t="s">
        <v>33</v>
      </c>
      <c r="S12" s="12" t="s">
        <v>33</v>
      </c>
      <c r="T12" s="12" t="b">
        <v>1</v>
      </c>
      <c r="U12" s="12">
        <v>0.83499999999999996</v>
      </c>
      <c r="V12" s="12">
        <v>208.1694</v>
      </c>
      <c r="W12" s="5" t="s">
        <v>988</v>
      </c>
      <c r="X12" s="12" t="b">
        <v>1</v>
      </c>
      <c r="Y12" s="12">
        <v>1</v>
      </c>
      <c r="Z12" s="13" t="b">
        <v>1</v>
      </c>
    </row>
    <row r="13" spans="1:31">
      <c r="A13" t="s">
        <v>37</v>
      </c>
      <c r="B13" t="s">
        <v>38</v>
      </c>
      <c r="C13" t="s">
        <v>39</v>
      </c>
      <c r="D13" t="s">
        <v>19</v>
      </c>
      <c r="E13" t="s">
        <v>20</v>
      </c>
      <c r="F13" t="s">
        <v>37</v>
      </c>
      <c r="G13" t="s">
        <v>40</v>
      </c>
      <c r="H13" t="s">
        <v>22</v>
      </c>
      <c r="L13" t="s">
        <v>23</v>
      </c>
      <c r="M13" t="s">
        <v>24</v>
      </c>
      <c r="N13" t="s">
        <v>31</v>
      </c>
      <c r="Q13" s="11" t="s">
        <v>37</v>
      </c>
      <c r="R13" s="12" t="s">
        <v>38</v>
      </c>
      <c r="S13" s="12" t="s">
        <v>38</v>
      </c>
      <c r="T13" s="12" t="b">
        <v>1</v>
      </c>
      <c r="U13" s="12">
        <v>0.97529999999999994</v>
      </c>
      <c r="V13" s="12">
        <v>512.00879999999995</v>
      </c>
      <c r="W13" s="5" t="s">
        <v>1044</v>
      </c>
      <c r="X13" s="12" t="b">
        <v>1</v>
      </c>
      <c r="Y13" s="12">
        <v>1</v>
      </c>
      <c r="Z13" s="13" t="b">
        <v>1</v>
      </c>
    </row>
    <row r="14" spans="1:31">
      <c r="A14" t="s">
        <v>41</v>
      </c>
      <c r="B14" t="s">
        <v>42</v>
      </c>
      <c r="C14" t="s">
        <v>43</v>
      </c>
      <c r="D14" t="s">
        <v>44</v>
      </c>
      <c r="E14" t="s">
        <v>20</v>
      </c>
      <c r="F14" t="s">
        <v>45</v>
      </c>
      <c r="G14" t="s">
        <v>46</v>
      </c>
      <c r="H14" t="s">
        <v>47</v>
      </c>
      <c r="I14" t="s">
        <v>48</v>
      </c>
      <c r="L14" t="s">
        <v>23</v>
      </c>
      <c r="M14" t="s">
        <v>24</v>
      </c>
      <c r="N14" t="s">
        <v>49</v>
      </c>
      <c r="Q14" s="11" t="s">
        <v>45</v>
      </c>
      <c r="R14" s="12" t="s">
        <v>42</v>
      </c>
      <c r="S14" s="12" t="s">
        <v>42</v>
      </c>
      <c r="T14" s="12" t="b">
        <v>1</v>
      </c>
      <c r="U14" s="12">
        <v>0.85860000000000003</v>
      </c>
      <c r="V14" s="12">
        <v>242.24549999999999</v>
      </c>
      <c r="W14" s="5" t="s">
        <v>1045</v>
      </c>
      <c r="X14" s="12" t="b">
        <v>1</v>
      </c>
      <c r="Y14" s="12">
        <v>1</v>
      </c>
      <c r="Z14" s="13" t="b">
        <v>1</v>
      </c>
    </row>
    <row r="15" spans="1:31">
      <c r="A15" t="s">
        <v>41</v>
      </c>
      <c r="B15" t="s">
        <v>42</v>
      </c>
      <c r="C15" t="s">
        <v>50</v>
      </c>
      <c r="D15" t="s">
        <v>19</v>
      </c>
      <c r="E15" t="s">
        <v>20</v>
      </c>
      <c r="F15" t="s">
        <v>45</v>
      </c>
      <c r="G15" t="s">
        <v>51</v>
      </c>
      <c r="H15" t="s">
        <v>22</v>
      </c>
      <c r="I15" t="s">
        <v>52</v>
      </c>
      <c r="L15" t="s">
        <v>23</v>
      </c>
      <c r="M15" t="s">
        <v>24</v>
      </c>
      <c r="N15" t="s">
        <v>49</v>
      </c>
      <c r="Q15" s="11" t="s">
        <v>45</v>
      </c>
      <c r="R15" s="12" t="s">
        <v>42</v>
      </c>
      <c r="S15" s="12" t="s">
        <v>42</v>
      </c>
      <c r="T15" s="12" t="b">
        <v>1</v>
      </c>
      <c r="U15" s="12">
        <v>0.85860000000000003</v>
      </c>
      <c r="V15" s="12">
        <v>242.24549999999999</v>
      </c>
      <c r="W15" s="5" t="s">
        <v>1045</v>
      </c>
      <c r="X15" s="12" t="b">
        <v>1</v>
      </c>
      <c r="Y15" s="12">
        <v>1</v>
      </c>
      <c r="Z15" s="13" t="b">
        <v>1</v>
      </c>
    </row>
    <row r="16" spans="1:31">
      <c r="A16" t="s">
        <v>53</v>
      </c>
      <c r="B16" t="s">
        <v>54</v>
      </c>
      <c r="C16" t="s">
        <v>55</v>
      </c>
      <c r="D16" t="s">
        <v>19</v>
      </c>
      <c r="E16" t="s">
        <v>20</v>
      </c>
      <c r="F16" t="s">
        <v>53</v>
      </c>
      <c r="G16" t="s">
        <v>56</v>
      </c>
      <c r="H16" t="s">
        <v>22</v>
      </c>
      <c r="I16" t="s">
        <v>57</v>
      </c>
      <c r="L16" t="s">
        <v>23</v>
      </c>
      <c r="M16" t="s">
        <v>24</v>
      </c>
      <c r="N16" t="s">
        <v>25</v>
      </c>
      <c r="Q16" s="11" t="s">
        <v>53</v>
      </c>
      <c r="R16" s="12" t="s">
        <v>54</v>
      </c>
      <c r="S16" s="12" t="s">
        <v>54</v>
      </c>
      <c r="T16" s="12" t="b">
        <v>1</v>
      </c>
      <c r="U16" s="12">
        <v>0.9425</v>
      </c>
      <c r="V16" s="12">
        <v>415.05009999999999</v>
      </c>
      <c r="W16" s="5" t="s">
        <v>1046</v>
      </c>
      <c r="X16" s="12" t="b">
        <v>1</v>
      </c>
      <c r="Y16" s="12">
        <v>1</v>
      </c>
      <c r="Z16" s="13" t="b">
        <v>1</v>
      </c>
    </row>
    <row r="17" spans="1:26">
      <c r="A17" t="s">
        <v>58</v>
      </c>
      <c r="B17" t="s">
        <v>59</v>
      </c>
      <c r="C17" t="s">
        <v>60</v>
      </c>
      <c r="D17" t="s">
        <v>44</v>
      </c>
      <c r="E17" t="s">
        <v>20</v>
      </c>
      <c r="F17" t="s">
        <v>61</v>
      </c>
      <c r="G17" t="s">
        <v>62</v>
      </c>
      <c r="H17" t="s">
        <v>47</v>
      </c>
      <c r="L17" t="s">
        <v>23</v>
      </c>
      <c r="M17" t="s">
        <v>24</v>
      </c>
      <c r="N17" t="s">
        <v>25</v>
      </c>
      <c r="Q17" s="11" t="s">
        <v>61</v>
      </c>
      <c r="R17" s="12" t="s">
        <v>59</v>
      </c>
      <c r="S17" s="12" t="s">
        <v>59</v>
      </c>
      <c r="T17" s="12" t="b">
        <v>1</v>
      </c>
      <c r="U17" s="12">
        <v>0.86680000000000001</v>
      </c>
      <c r="V17" s="12">
        <v>255.3005</v>
      </c>
      <c r="W17" s="5" t="s">
        <v>1047</v>
      </c>
      <c r="X17" s="12" t="b">
        <v>1</v>
      </c>
      <c r="Y17" s="12">
        <v>1</v>
      </c>
      <c r="Z17" s="13" t="b">
        <v>1</v>
      </c>
    </row>
    <row r="18" spans="1:26">
      <c r="A18" t="s">
        <v>63</v>
      </c>
      <c r="B18" t="s">
        <v>64</v>
      </c>
      <c r="C18" t="s">
        <v>65</v>
      </c>
      <c r="D18" t="s">
        <v>19</v>
      </c>
      <c r="E18" t="s">
        <v>20</v>
      </c>
      <c r="F18" t="s">
        <v>66</v>
      </c>
      <c r="G18" t="s">
        <v>67</v>
      </c>
      <c r="H18" t="s">
        <v>22</v>
      </c>
      <c r="L18" t="s">
        <v>23</v>
      </c>
      <c r="M18" t="s">
        <v>24</v>
      </c>
      <c r="N18" t="s">
        <v>31</v>
      </c>
      <c r="Q18" s="11" t="s">
        <v>66</v>
      </c>
      <c r="R18" s="12" t="s">
        <v>64</v>
      </c>
      <c r="S18" s="12" t="s">
        <v>64</v>
      </c>
      <c r="T18" s="12" t="b">
        <v>1</v>
      </c>
      <c r="U18" s="12">
        <v>0.92010000000000003</v>
      </c>
      <c r="V18" s="12">
        <v>359.56229999999999</v>
      </c>
      <c r="W18" s="5" t="s">
        <v>1048</v>
      </c>
      <c r="X18" s="12" t="b">
        <v>1</v>
      </c>
      <c r="Y18" s="12">
        <v>1</v>
      </c>
      <c r="Z18" s="13" t="b">
        <v>1</v>
      </c>
    </row>
    <row r="19" spans="1:26">
      <c r="A19" t="s">
        <v>68</v>
      </c>
      <c r="B19" t="s">
        <v>69</v>
      </c>
      <c r="C19" t="s">
        <v>70</v>
      </c>
      <c r="D19" t="s">
        <v>19</v>
      </c>
      <c r="E19" t="s">
        <v>20</v>
      </c>
      <c r="F19" t="s">
        <v>71</v>
      </c>
      <c r="G19" t="s">
        <v>72</v>
      </c>
      <c r="H19" t="s">
        <v>22</v>
      </c>
      <c r="I19" t="s">
        <v>73</v>
      </c>
      <c r="L19" t="s">
        <v>23</v>
      </c>
      <c r="M19" t="s">
        <v>24</v>
      </c>
      <c r="N19" t="s">
        <v>25</v>
      </c>
      <c r="Q19" s="11" t="s">
        <v>71</v>
      </c>
      <c r="R19" s="12" t="s">
        <v>69</v>
      </c>
      <c r="S19" s="12" t="s">
        <v>69</v>
      </c>
      <c r="T19" s="12" t="b">
        <v>1</v>
      </c>
      <c r="U19" s="12">
        <v>0.82399999999999995</v>
      </c>
      <c r="V19" s="12">
        <v>193.8665</v>
      </c>
      <c r="W19" s="5" t="s">
        <v>1049</v>
      </c>
      <c r="X19" s="12" t="b">
        <v>1</v>
      </c>
      <c r="Y19" s="12">
        <v>1</v>
      </c>
      <c r="Z19" s="13" t="b">
        <v>1</v>
      </c>
    </row>
    <row r="20" spans="1:26">
      <c r="A20" t="s">
        <v>68</v>
      </c>
      <c r="B20" t="s">
        <v>69</v>
      </c>
      <c r="C20" t="s">
        <v>70</v>
      </c>
      <c r="D20" t="s">
        <v>19</v>
      </c>
      <c r="E20" t="s">
        <v>20</v>
      </c>
      <c r="F20" t="s">
        <v>74</v>
      </c>
      <c r="G20" t="s">
        <v>75</v>
      </c>
      <c r="H20" t="s">
        <v>22</v>
      </c>
      <c r="I20" t="s">
        <v>73</v>
      </c>
      <c r="L20" t="s">
        <v>23</v>
      </c>
      <c r="M20" t="s">
        <v>24</v>
      </c>
      <c r="N20" t="s">
        <v>31</v>
      </c>
      <c r="Q20" s="11" t="s">
        <v>74</v>
      </c>
      <c r="R20" s="12" t="s">
        <v>69</v>
      </c>
      <c r="S20" s="12" t="s">
        <v>69</v>
      </c>
      <c r="T20" s="12" t="b">
        <v>1</v>
      </c>
      <c r="U20" s="12">
        <v>0.83309999999999995</v>
      </c>
      <c r="V20" s="12">
        <v>205.517</v>
      </c>
      <c r="W20" s="5" t="s">
        <v>1050</v>
      </c>
      <c r="X20" s="12" t="b">
        <v>1</v>
      </c>
      <c r="Y20" s="12">
        <v>1</v>
      </c>
      <c r="Z20" s="13" t="b">
        <v>1</v>
      </c>
    </row>
    <row r="21" spans="1:26">
      <c r="A21" t="s">
        <v>76</v>
      </c>
      <c r="B21" t="s">
        <v>77</v>
      </c>
      <c r="C21" t="s">
        <v>78</v>
      </c>
      <c r="D21" t="s">
        <v>79</v>
      </c>
      <c r="E21" t="s">
        <v>20</v>
      </c>
      <c r="F21" t="s">
        <v>80</v>
      </c>
      <c r="G21" t="s">
        <v>81</v>
      </c>
      <c r="H21" t="s">
        <v>82</v>
      </c>
      <c r="L21" t="s">
        <v>23</v>
      </c>
      <c r="M21" t="s">
        <v>24</v>
      </c>
      <c r="N21" t="s">
        <v>31</v>
      </c>
      <c r="Q21" s="11" t="s">
        <v>80</v>
      </c>
      <c r="R21" s="12" t="s">
        <v>77</v>
      </c>
      <c r="S21" s="12" t="s">
        <v>77</v>
      </c>
      <c r="T21" s="12" t="b">
        <v>1</v>
      </c>
      <c r="U21" s="12">
        <v>0.98109999999999997</v>
      </c>
      <c r="V21" s="12">
        <v>531.48940000000005</v>
      </c>
      <c r="W21" s="5" t="s">
        <v>1051</v>
      </c>
      <c r="X21" s="12" t="b">
        <v>1</v>
      </c>
      <c r="Y21" s="12">
        <v>1</v>
      </c>
      <c r="Z21" s="13" t="b">
        <v>1</v>
      </c>
    </row>
    <row r="22" spans="1:26">
      <c r="A22" t="s">
        <v>83</v>
      </c>
      <c r="B22" t="s">
        <v>84</v>
      </c>
      <c r="C22" t="s">
        <v>85</v>
      </c>
      <c r="D22" t="s">
        <v>79</v>
      </c>
      <c r="E22" t="s">
        <v>20</v>
      </c>
      <c r="F22" t="s">
        <v>86</v>
      </c>
      <c r="G22" t="s">
        <v>87</v>
      </c>
      <c r="H22" t="s">
        <v>82</v>
      </c>
      <c r="L22" t="s">
        <v>23</v>
      </c>
      <c r="M22" t="s">
        <v>24</v>
      </c>
      <c r="N22" t="s">
        <v>25</v>
      </c>
      <c r="Q22" s="11" t="s">
        <v>86</v>
      </c>
      <c r="R22" s="12" t="s">
        <v>84</v>
      </c>
      <c r="S22" s="12" t="s">
        <v>84</v>
      </c>
      <c r="T22" s="12" t="b">
        <v>1</v>
      </c>
      <c r="U22" s="12">
        <v>0.85289999999999999</v>
      </c>
      <c r="V22" s="12">
        <v>233.4854</v>
      </c>
      <c r="W22" s="5" t="s">
        <v>993</v>
      </c>
      <c r="X22" s="12" t="b">
        <v>1</v>
      </c>
      <c r="Y22" s="12">
        <v>1</v>
      </c>
      <c r="Z22" s="13" t="b">
        <v>1</v>
      </c>
    </row>
    <row r="23" spans="1:26">
      <c r="A23" t="s">
        <v>88</v>
      </c>
      <c r="B23" t="s">
        <v>89</v>
      </c>
      <c r="C23" t="s">
        <v>90</v>
      </c>
      <c r="D23" t="s">
        <v>19</v>
      </c>
      <c r="E23" t="s">
        <v>20</v>
      </c>
      <c r="F23" t="s">
        <v>91</v>
      </c>
      <c r="G23" t="s">
        <v>92</v>
      </c>
      <c r="H23" t="s">
        <v>22</v>
      </c>
      <c r="I23" t="s">
        <v>93</v>
      </c>
      <c r="L23" t="s">
        <v>23</v>
      </c>
      <c r="M23" t="s">
        <v>24</v>
      </c>
      <c r="N23" t="s">
        <v>31</v>
      </c>
      <c r="Q23" s="11" t="s">
        <v>91</v>
      </c>
      <c r="R23" s="12" t="s">
        <v>89</v>
      </c>
      <c r="S23" s="12" t="s">
        <v>89</v>
      </c>
      <c r="T23" s="12" t="b">
        <v>1</v>
      </c>
      <c r="U23" s="12">
        <v>1</v>
      </c>
      <c r="V23" s="12">
        <v>708.56979999999999</v>
      </c>
      <c r="W23" s="5" t="s">
        <v>994</v>
      </c>
      <c r="X23" s="12" t="b">
        <v>1</v>
      </c>
      <c r="Y23" s="12">
        <v>1</v>
      </c>
      <c r="Z23" s="13" t="b">
        <v>1</v>
      </c>
    </row>
    <row r="24" spans="1:26">
      <c r="A24" t="s">
        <v>94</v>
      </c>
      <c r="B24" t="s">
        <v>95</v>
      </c>
      <c r="C24" t="s">
        <v>96</v>
      </c>
      <c r="D24" t="s">
        <v>44</v>
      </c>
      <c r="E24" t="s">
        <v>20</v>
      </c>
      <c r="F24" t="s">
        <v>94</v>
      </c>
      <c r="G24" t="s">
        <v>97</v>
      </c>
      <c r="H24" t="s">
        <v>47</v>
      </c>
      <c r="I24" t="s">
        <v>98</v>
      </c>
      <c r="L24" t="s">
        <v>23</v>
      </c>
      <c r="M24" t="s">
        <v>24</v>
      </c>
      <c r="N24" t="s">
        <v>25</v>
      </c>
      <c r="Q24" s="11" t="s">
        <v>94</v>
      </c>
      <c r="R24" s="12" t="s">
        <v>95</v>
      </c>
      <c r="S24" s="12" t="s">
        <v>95</v>
      </c>
      <c r="T24" s="12" t="b">
        <v>1</v>
      </c>
      <c r="U24" s="12">
        <v>0.8841</v>
      </c>
      <c r="V24" s="12">
        <v>285.36200000000002</v>
      </c>
      <c r="W24" s="5" t="s">
        <v>995</v>
      </c>
      <c r="X24" s="12" t="b">
        <v>1</v>
      </c>
      <c r="Y24" s="12">
        <v>1</v>
      </c>
      <c r="Z24" s="13" t="b">
        <v>1</v>
      </c>
    </row>
    <row r="25" spans="1:26">
      <c r="A25" t="s">
        <v>99</v>
      </c>
      <c r="B25" t="s">
        <v>100</v>
      </c>
      <c r="C25" t="s">
        <v>101</v>
      </c>
      <c r="D25" t="s">
        <v>44</v>
      </c>
      <c r="E25" t="s">
        <v>20</v>
      </c>
      <c r="F25" t="s">
        <v>102</v>
      </c>
      <c r="G25" t="s">
        <v>103</v>
      </c>
      <c r="H25" t="s">
        <v>47</v>
      </c>
      <c r="I25" t="s">
        <v>104</v>
      </c>
      <c r="L25" t="s">
        <v>23</v>
      </c>
      <c r="M25" t="s">
        <v>24</v>
      </c>
      <c r="N25" t="s">
        <v>31</v>
      </c>
      <c r="Q25" s="11" t="s">
        <v>102</v>
      </c>
      <c r="R25" s="12" t="s">
        <v>100</v>
      </c>
      <c r="S25" s="12" t="s">
        <v>100</v>
      </c>
      <c r="T25" s="12" t="b">
        <v>1</v>
      </c>
      <c r="U25" s="12">
        <v>0.95140000000000002</v>
      </c>
      <c r="V25" s="12">
        <v>439.45909999999998</v>
      </c>
      <c r="W25" s="5" t="s">
        <v>1052</v>
      </c>
      <c r="X25" s="12" t="b">
        <v>1</v>
      </c>
      <c r="Y25" s="12">
        <v>1</v>
      </c>
      <c r="Z25" s="13" t="b">
        <v>1</v>
      </c>
    </row>
    <row r="26" spans="1:26">
      <c r="A26" t="s">
        <v>105</v>
      </c>
      <c r="B26" t="s">
        <v>106</v>
      </c>
      <c r="C26" t="s">
        <v>107</v>
      </c>
      <c r="D26" t="s">
        <v>19</v>
      </c>
      <c r="E26" t="s">
        <v>20</v>
      </c>
      <c r="F26" t="s">
        <v>108</v>
      </c>
      <c r="G26" t="s">
        <v>109</v>
      </c>
      <c r="H26" t="s">
        <v>22</v>
      </c>
      <c r="I26" t="s">
        <v>110</v>
      </c>
      <c r="L26" t="s">
        <v>23</v>
      </c>
      <c r="M26" t="s">
        <v>24</v>
      </c>
      <c r="N26" t="s">
        <v>25</v>
      </c>
      <c r="Q26" s="11" t="s">
        <v>108</v>
      </c>
      <c r="R26" s="12" t="s">
        <v>106</v>
      </c>
      <c r="S26" s="12" t="s">
        <v>106</v>
      </c>
      <c r="T26" s="12" t="b">
        <v>1</v>
      </c>
      <c r="U26" s="12">
        <v>0.88170000000000004</v>
      </c>
      <c r="V26" s="12">
        <v>280.87670000000003</v>
      </c>
      <c r="W26" s="5" t="s">
        <v>997</v>
      </c>
      <c r="X26" s="12" t="b">
        <v>1</v>
      </c>
      <c r="Y26" s="12">
        <v>1</v>
      </c>
      <c r="Z26" s="13" t="b">
        <v>1</v>
      </c>
    </row>
    <row r="27" spans="1:26">
      <c r="A27" t="s">
        <v>111</v>
      </c>
      <c r="B27" t="s">
        <v>112</v>
      </c>
      <c r="C27" t="s">
        <v>113</v>
      </c>
      <c r="D27" t="s">
        <v>19</v>
      </c>
      <c r="E27" t="s">
        <v>20</v>
      </c>
      <c r="F27" t="s">
        <v>111</v>
      </c>
      <c r="G27" t="s">
        <v>114</v>
      </c>
      <c r="H27" t="s">
        <v>22</v>
      </c>
      <c r="L27" t="s">
        <v>23</v>
      </c>
      <c r="M27" t="s">
        <v>24</v>
      </c>
      <c r="N27" t="s">
        <v>25</v>
      </c>
      <c r="Q27" s="11" t="s">
        <v>111</v>
      </c>
      <c r="R27" s="12" t="s">
        <v>112</v>
      </c>
      <c r="S27" s="12" t="s">
        <v>112</v>
      </c>
      <c r="T27" s="12" t="b">
        <v>1</v>
      </c>
      <c r="U27" s="12">
        <v>0.91490000000000005</v>
      </c>
      <c r="V27" s="12">
        <v>347.74560000000002</v>
      </c>
      <c r="W27" s="5" t="s">
        <v>998</v>
      </c>
      <c r="X27" s="12" t="b">
        <v>1</v>
      </c>
      <c r="Y27" s="12">
        <v>1</v>
      </c>
      <c r="Z27" s="13" t="b">
        <v>1</v>
      </c>
    </row>
    <row r="28" spans="1:26">
      <c r="A28" t="s">
        <v>115</v>
      </c>
      <c r="B28" t="s">
        <v>116</v>
      </c>
      <c r="C28" t="s">
        <v>117</v>
      </c>
      <c r="D28" t="s">
        <v>19</v>
      </c>
      <c r="E28" t="s">
        <v>20</v>
      </c>
      <c r="F28" t="s">
        <v>118</v>
      </c>
      <c r="G28" t="s">
        <v>119</v>
      </c>
      <c r="H28" t="s">
        <v>22</v>
      </c>
      <c r="I28" t="s">
        <v>120</v>
      </c>
      <c r="L28" t="s">
        <v>23</v>
      </c>
      <c r="M28" t="s">
        <v>24</v>
      </c>
      <c r="N28" t="s">
        <v>25</v>
      </c>
      <c r="Q28" s="11" t="s">
        <v>118</v>
      </c>
      <c r="R28" s="12" t="s">
        <v>116</v>
      </c>
      <c r="S28" s="12" t="s">
        <v>116</v>
      </c>
      <c r="T28" s="12" t="b">
        <v>1</v>
      </c>
      <c r="U28" s="12">
        <v>0.78949999999999998</v>
      </c>
      <c r="V28" s="12">
        <v>155.28</v>
      </c>
      <c r="W28" s="5" t="s">
        <v>116</v>
      </c>
      <c r="X28" s="12" t="b">
        <v>1</v>
      </c>
      <c r="Y28" s="12">
        <v>1</v>
      </c>
      <c r="Z28" s="13" t="b">
        <v>1</v>
      </c>
    </row>
    <row r="29" spans="1:26">
      <c r="A29" t="s">
        <v>115</v>
      </c>
      <c r="B29" t="s">
        <v>116</v>
      </c>
      <c r="C29" t="s">
        <v>117</v>
      </c>
      <c r="D29" t="s">
        <v>19</v>
      </c>
      <c r="E29" t="s">
        <v>20</v>
      </c>
      <c r="F29" t="s">
        <v>121</v>
      </c>
      <c r="G29" t="s">
        <v>122</v>
      </c>
      <c r="H29" t="s">
        <v>22</v>
      </c>
      <c r="I29" t="s">
        <v>123</v>
      </c>
      <c r="L29" t="s">
        <v>23</v>
      </c>
      <c r="M29" t="s">
        <v>24</v>
      </c>
      <c r="N29" t="s">
        <v>31</v>
      </c>
      <c r="Q29" s="11" t="s">
        <v>121</v>
      </c>
      <c r="R29" s="12" t="s">
        <v>116</v>
      </c>
      <c r="S29" s="12" t="s">
        <v>116</v>
      </c>
      <c r="T29" s="12" t="b">
        <v>1</v>
      </c>
      <c r="U29" s="12">
        <v>0.97960000000000003</v>
      </c>
      <c r="V29" s="12">
        <v>526.31179999999995</v>
      </c>
      <c r="W29" s="5" t="s">
        <v>116</v>
      </c>
      <c r="X29" s="12" t="b">
        <v>1</v>
      </c>
      <c r="Y29" s="12">
        <v>1</v>
      </c>
      <c r="Z29" s="13" t="b">
        <v>1</v>
      </c>
    </row>
    <row r="30" spans="1:26">
      <c r="A30" t="s">
        <v>124</v>
      </c>
      <c r="B30" t="s">
        <v>125</v>
      </c>
      <c r="C30" t="s">
        <v>126</v>
      </c>
      <c r="D30" t="s">
        <v>127</v>
      </c>
      <c r="E30" t="s">
        <v>127</v>
      </c>
      <c r="F30" t="s">
        <v>128</v>
      </c>
      <c r="G30" t="s">
        <v>128</v>
      </c>
      <c r="L30" t="s">
        <v>23</v>
      </c>
      <c r="M30" t="s">
        <v>24</v>
      </c>
      <c r="N30" t="s">
        <v>31</v>
      </c>
      <c r="Q30" s="11" t="s">
        <v>128</v>
      </c>
      <c r="R30" s="12" t="s">
        <v>125</v>
      </c>
      <c r="S30" s="12" t="s">
        <v>125</v>
      </c>
      <c r="T30" s="12" t="b">
        <v>1</v>
      </c>
      <c r="U30" s="12">
        <v>0.78039999999999998</v>
      </c>
      <c r="V30" s="12">
        <v>146.48779999999999</v>
      </c>
      <c r="W30" s="5" t="s">
        <v>1053</v>
      </c>
      <c r="X30" s="12" t="b">
        <v>1</v>
      </c>
      <c r="Y30" s="12">
        <v>1</v>
      </c>
      <c r="Z30" s="13" t="b">
        <v>1</v>
      </c>
    </row>
    <row r="31" spans="1:26">
      <c r="A31" t="s">
        <v>129</v>
      </c>
      <c r="B31" t="s">
        <v>130</v>
      </c>
      <c r="C31" t="s">
        <v>131</v>
      </c>
      <c r="D31" t="s">
        <v>127</v>
      </c>
      <c r="E31" t="s">
        <v>127</v>
      </c>
      <c r="F31" t="s">
        <v>132</v>
      </c>
      <c r="G31" t="s">
        <v>133</v>
      </c>
      <c r="L31" t="s">
        <v>23</v>
      </c>
      <c r="M31" t="s">
        <v>24</v>
      </c>
      <c r="N31" t="s">
        <v>31</v>
      </c>
      <c r="Q31" s="11" t="s">
        <v>132</v>
      </c>
      <c r="R31" s="12" t="s">
        <v>130</v>
      </c>
      <c r="S31" s="12" t="s">
        <v>130</v>
      </c>
      <c r="T31" s="12" t="b">
        <v>1</v>
      </c>
      <c r="U31" s="12">
        <v>1</v>
      </c>
      <c r="V31" s="12">
        <v>804.7364</v>
      </c>
      <c r="W31" s="5" t="s">
        <v>130</v>
      </c>
      <c r="X31" s="12" t="b">
        <v>1</v>
      </c>
      <c r="Y31" s="12">
        <v>1</v>
      </c>
      <c r="Z31" s="13" t="b">
        <v>1</v>
      </c>
    </row>
    <row r="32" spans="1:26">
      <c r="A32" t="s">
        <v>134</v>
      </c>
      <c r="B32" t="s">
        <v>135</v>
      </c>
      <c r="C32" t="s">
        <v>136</v>
      </c>
      <c r="D32" t="s">
        <v>19</v>
      </c>
      <c r="E32" t="s">
        <v>20</v>
      </c>
      <c r="F32" t="s">
        <v>134</v>
      </c>
      <c r="G32" t="s">
        <v>137</v>
      </c>
      <c r="H32" t="s">
        <v>22</v>
      </c>
      <c r="L32" t="s">
        <v>23</v>
      </c>
      <c r="M32" t="s">
        <v>24</v>
      </c>
      <c r="N32" t="s">
        <v>25</v>
      </c>
      <c r="Q32" s="11" t="s">
        <v>134</v>
      </c>
      <c r="R32" s="12" t="s">
        <v>135</v>
      </c>
      <c r="S32" s="12" t="s">
        <v>135</v>
      </c>
      <c r="T32" s="12" t="b">
        <v>1</v>
      </c>
      <c r="U32" s="12">
        <v>0.9486</v>
      </c>
      <c r="V32" s="12">
        <v>431.5224</v>
      </c>
      <c r="W32" s="5" t="s">
        <v>135</v>
      </c>
      <c r="X32" s="12" t="b">
        <v>1</v>
      </c>
      <c r="Y32" s="12">
        <v>1</v>
      </c>
      <c r="Z32" s="13" t="b">
        <v>1</v>
      </c>
    </row>
    <row r="33" spans="1:26">
      <c r="A33" t="s">
        <v>138</v>
      </c>
      <c r="B33" t="s">
        <v>84</v>
      </c>
      <c r="C33" t="s">
        <v>139</v>
      </c>
      <c r="D33" t="s">
        <v>19</v>
      </c>
      <c r="E33" t="s">
        <v>20</v>
      </c>
      <c r="F33" t="s">
        <v>86</v>
      </c>
      <c r="G33" t="s">
        <v>140</v>
      </c>
      <c r="H33" t="s">
        <v>22</v>
      </c>
      <c r="I33" t="s">
        <v>141</v>
      </c>
      <c r="L33" t="s">
        <v>23</v>
      </c>
      <c r="M33" t="s">
        <v>24</v>
      </c>
      <c r="N33" t="s">
        <v>25</v>
      </c>
      <c r="Q33" s="11" t="s">
        <v>86</v>
      </c>
      <c r="R33" s="12" t="s">
        <v>84</v>
      </c>
      <c r="S33" s="12" t="s">
        <v>84</v>
      </c>
      <c r="T33" s="12" t="b">
        <v>1</v>
      </c>
      <c r="U33" s="12">
        <v>0.85289999999999999</v>
      </c>
      <c r="V33" s="12">
        <v>233.4854</v>
      </c>
      <c r="W33" s="5" t="s">
        <v>993</v>
      </c>
      <c r="X33" s="12" t="b">
        <v>1</v>
      </c>
      <c r="Y33" s="12">
        <v>1</v>
      </c>
      <c r="Z33" s="13" t="b">
        <v>1</v>
      </c>
    </row>
    <row r="34" spans="1:26">
      <c r="A34" t="s">
        <v>142</v>
      </c>
      <c r="B34" t="s">
        <v>143</v>
      </c>
      <c r="C34" t="s">
        <v>144</v>
      </c>
      <c r="D34" t="s">
        <v>19</v>
      </c>
      <c r="E34" t="s">
        <v>20</v>
      </c>
      <c r="F34" t="s">
        <v>145</v>
      </c>
      <c r="G34" t="s">
        <v>146</v>
      </c>
      <c r="H34" t="s">
        <v>22</v>
      </c>
      <c r="L34" t="s">
        <v>23</v>
      </c>
      <c r="M34" t="s">
        <v>24</v>
      </c>
      <c r="N34" t="s">
        <v>25</v>
      </c>
      <c r="Q34" s="11" t="s">
        <v>145</v>
      </c>
      <c r="R34" s="12" t="s">
        <v>143</v>
      </c>
      <c r="S34" s="12" t="s">
        <v>143</v>
      </c>
      <c r="T34" s="12" t="b">
        <v>1</v>
      </c>
      <c r="U34" s="12">
        <v>0.89410000000000001</v>
      </c>
      <c r="V34" s="12">
        <v>304.23930000000001</v>
      </c>
      <c r="W34" s="5" t="s">
        <v>1054</v>
      </c>
      <c r="X34" s="12" t="b">
        <v>1</v>
      </c>
      <c r="Y34" s="12">
        <v>1</v>
      </c>
      <c r="Z34" s="13" t="b">
        <v>1</v>
      </c>
    </row>
    <row r="35" spans="1:26">
      <c r="A35" t="s">
        <v>147</v>
      </c>
      <c r="B35" t="s">
        <v>148</v>
      </c>
      <c r="C35" t="s">
        <v>149</v>
      </c>
      <c r="D35" t="s">
        <v>19</v>
      </c>
      <c r="E35" t="s">
        <v>20</v>
      </c>
      <c r="F35" t="s">
        <v>147</v>
      </c>
      <c r="G35" t="s">
        <v>150</v>
      </c>
      <c r="H35" t="s">
        <v>22</v>
      </c>
      <c r="I35" t="s">
        <v>151</v>
      </c>
      <c r="L35" t="s">
        <v>23</v>
      </c>
      <c r="M35" t="s">
        <v>24</v>
      </c>
      <c r="N35" t="s">
        <v>25</v>
      </c>
      <c r="Q35" s="11" t="s">
        <v>147</v>
      </c>
      <c r="R35" s="12" t="s">
        <v>148</v>
      </c>
      <c r="S35" s="12" t="s">
        <v>148</v>
      </c>
      <c r="T35" s="12" t="b">
        <v>1</v>
      </c>
      <c r="U35" s="12">
        <v>0.88849999999999996</v>
      </c>
      <c r="V35" s="12">
        <v>293.37959999999998</v>
      </c>
      <c r="W35" s="5" t="s">
        <v>1055</v>
      </c>
      <c r="X35" s="12" t="b">
        <v>1</v>
      </c>
      <c r="Y35" s="12">
        <v>1</v>
      </c>
      <c r="Z35" s="13" t="b">
        <v>1</v>
      </c>
    </row>
    <row r="36" spans="1:26">
      <c r="A36" s="2" t="s">
        <v>152</v>
      </c>
      <c r="B36" s="2" t="s">
        <v>152</v>
      </c>
      <c r="C36" s="2" t="s">
        <v>153</v>
      </c>
      <c r="D36" s="2" t="s">
        <v>19</v>
      </c>
      <c r="E36" s="2" t="s">
        <v>20</v>
      </c>
      <c r="F36" s="2" t="s">
        <v>154</v>
      </c>
      <c r="G36" s="2" t="s">
        <v>155</v>
      </c>
      <c r="H36" s="2" t="s">
        <v>22</v>
      </c>
      <c r="I36" s="2" t="s">
        <v>156</v>
      </c>
      <c r="J36" s="2"/>
      <c r="K36" s="2"/>
      <c r="L36" t="s">
        <v>23</v>
      </c>
      <c r="M36" t="s">
        <v>24</v>
      </c>
      <c r="N36" t="s">
        <v>49</v>
      </c>
      <c r="Q36" s="11" t="s">
        <v>154</v>
      </c>
      <c r="R36" s="12" t="s">
        <v>152</v>
      </c>
      <c r="S36" s="12"/>
      <c r="T36" s="12" t="b">
        <v>0</v>
      </c>
      <c r="U36" s="12"/>
      <c r="V36" s="12"/>
      <c r="W36" s="5" t="s">
        <v>1056</v>
      </c>
      <c r="X36" s="12" t="b">
        <v>0</v>
      </c>
      <c r="Y36" s="12"/>
      <c r="Z36" s="13" t="b">
        <v>0</v>
      </c>
    </row>
    <row r="37" spans="1:26">
      <c r="A37" s="2" t="s">
        <v>157</v>
      </c>
      <c r="B37" s="2" t="s">
        <v>158</v>
      </c>
      <c r="C37" s="2" t="s">
        <v>159</v>
      </c>
      <c r="D37" s="2" t="s">
        <v>19</v>
      </c>
      <c r="E37" s="2" t="s">
        <v>20</v>
      </c>
      <c r="F37" s="2" t="s">
        <v>157</v>
      </c>
      <c r="G37" s="2" t="s">
        <v>160</v>
      </c>
      <c r="H37" s="2" t="s">
        <v>22</v>
      </c>
      <c r="I37" s="2" t="s">
        <v>161</v>
      </c>
      <c r="J37" s="2"/>
      <c r="K37" s="2"/>
      <c r="L37" t="s">
        <v>23</v>
      </c>
      <c r="M37" t="s">
        <v>24</v>
      </c>
      <c r="N37" t="s">
        <v>25</v>
      </c>
      <c r="Q37" s="11" t="s">
        <v>157</v>
      </c>
      <c r="R37" s="12" t="s">
        <v>158</v>
      </c>
      <c r="S37" s="12" t="s">
        <v>158</v>
      </c>
      <c r="T37" s="12" t="b">
        <v>1</v>
      </c>
      <c r="U37" s="12">
        <v>0.89300000000000002</v>
      </c>
      <c r="V37" s="12">
        <v>302.1567</v>
      </c>
      <c r="W37" s="5" t="s">
        <v>1057</v>
      </c>
      <c r="X37" s="12" t="b">
        <v>1</v>
      </c>
      <c r="Y37" s="12">
        <v>1</v>
      </c>
      <c r="Z37" s="13" t="b">
        <v>1</v>
      </c>
    </row>
    <row r="38" spans="1:26">
      <c r="A38" s="2" t="s">
        <v>162</v>
      </c>
      <c r="B38" s="2" t="s">
        <v>163</v>
      </c>
      <c r="C38" s="2" t="s">
        <v>164</v>
      </c>
      <c r="D38" s="2" t="s">
        <v>19</v>
      </c>
      <c r="E38" s="2" t="s">
        <v>20</v>
      </c>
      <c r="F38" s="2" t="s">
        <v>165</v>
      </c>
      <c r="G38" s="2" t="s">
        <v>166</v>
      </c>
      <c r="H38" s="2" t="s">
        <v>22</v>
      </c>
      <c r="I38" s="2" t="s">
        <v>167</v>
      </c>
      <c r="J38" s="2"/>
      <c r="K38" s="2"/>
      <c r="L38" t="s">
        <v>23</v>
      </c>
      <c r="M38" t="s">
        <v>24</v>
      </c>
      <c r="N38" t="s">
        <v>49</v>
      </c>
      <c r="Q38" s="11" t="s">
        <v>165</v>
      </c>
      <c r="R38" s="12" t="s">
        <v>163</v>
      </c>
      <c r="S38" s="12" t="s">
        <v>168</v>
      </c>
      <c r="T38" s="12" t="b">
        <v>0</v>
      </c>
      <c r="U38" s="12">
        <v>1</v>
      </c>
      <c r="V38" s="12">
        <v>682.53319999999997</v>
      </c>
      <c r="W38" s="5" t="s">
        <v>168</v>
      </c>
      <c r="X38" s="12" t="b">
        <v>0</v>
      </c>
      <c r="Y38" s="12"/>
      <c r="Z38" s="13" t="b">
        <v>1</v>
      </c>
    </row>
    <row r="39" spans="1:26">
      <c r="A39" s="2" t="s">
        <v>165</v>
      </c>
      <c r="B39" s="2" t="s">
        <v>168</v>
      </c>
      <c r="C39" s="2" t="s">
        <v>169</v>
      </c>
      <c r="D39" s="2" t="s">
        <v>19</v>
      </c>
      <c r="E39" s="2" t="s">
        <v>20</v>
      </c>
      <c r="F39" s="2" t="s">
        <v>165</v>
      </c>
      <c r="G39" s="2" t="s">
        <v>170</v>
      </c>
      <c r="H39" s="2" t="s">
        <v>22</v>
      </c>
      <c r="I39" s="2" t="s">
        <v>171</v>
      </c>
      <c r="J39" s="2"/>
      <c r="K39" s="2"/>
      <c r="L39" t="s">
        <v>23</v>
      </c>
      <c r="M39" t="s">
        <v>24</v>
      </c>
      <c r="N39" t="s">
        <v>31</v>
      </c>
      <c r="Q39" s="11" t="s">
        <v>165</v>
      </c>
      <c r="R39" s="12" t="s">
        <v>168</v>
      </c>
      <c r="S39" s="12" t="s">
        <v>168</v>
      </c>
      <c r="T39" s="12" t="b">
        <v>1</v>
      </c>
      <c r="U39" s="12">
        <v>1</v>
      </c>
      <c r="V39" s="12">
        <v>682.53319999999997</v>
      </c>
      <c r="W39" s="5" t="s">
        <v>168</v>
      </c>
      <c r="X39" s="12" t="b">
        <v>1</v>
      </c>
      <c r="Y39" s="12">
        <v>1</v>
      </c>
      <c r="Z39" s="13" t="b">
        <v>1</v>
      </c>
    </row>
    <row r="40" spans="1:26">
      <c r="A40" s="2" t="s">
        <v>172</v>
      </c>
      <c r="B40" s="2" t="s">
        <v>173</v>
      </c>
      <c r="C40" s="2" t="s">
        <v>174</v>
      </c>
      <c r="D40" s="2" t="s">
        <v>19</v>
      </c>
      <c r="E40" s="2" t="s">
        <v>20</v>
      </c>
      <c r="F40" s="2" t="s">
        <v>175</v>
      </c>
      <c r="G40" s="2" t="s">
        <v>176</v>
      </c>
      <c r="H40" s="2"/>
      <c r="I40" s="2"/>
      <c r="J40" s="2"/>
      <c r="K40" s="2"/>
      <c r="L40" t="s">
        <v>23</v>
      </c>
      <c r="M40" t="s">
        <v>24</v>
      </c>
      <c r="N40" t="s">
        <v>49</v>
      </c>
      <c r="Q40" s="11" t="s">
        <v>175</v>
      </c>
      <c r="R40" s="12" t="s">
        <v>173</v>
      </c>
      <c r="S40" s="12" t="s">
        <v>1058</v>
      </c>
      <c r="T40" s="12" t="b">
        <v>0</v>
      </c>
      <c r="U40" s="12">
        <v>0.78680000000000005</v>
      </c>
      <c r="V40" s="12">
        <v>152.59399999999999</v>
      </c>
      <c r="W40" s="5" t="s">
        <v>1059</v>
      </c>
      <c r="X40" s="12" t="b">
        <v>1</v>
      </c>
      <c r="Y40" s="12">
        <v>4</v>
      </c>
      <c r="Z40" s="13" t="b">
        <v>1</v>
      </c>
    </row>
    <row r="41" spans="1:26">
      <c r="A41" t="s">
        <v>16</v>
      </c>
      <c r="B41" t="s">
        <v>17</v>
      </c>
      <c r="C41" t="s">
        <v>177</v>
      </c>
      <c r="D41" t="s">
        <v>44</v>
      </c>
      <c r="E41" t="s">
        <v>20</v>
      </c>
      <c r="F41" t="s">
        <v>178</v>
      </c>
      <c r="H41" t="s">
        <v>179</v>
      </c>
      <c r="J41">
        <v>15670</v>
      </c>
      <c r="L41" t="s">
        <v>180</v>
      </c>
      <c r="M41" t="s">
        <v>24</v>
      </c>
      <c r="N41" t="s">
        <v>49</v>
      </c>
      <c r="Q41" s="11" t="s">
        <v>178</v>
      </c>
      <c r="R41" s="12" t="s">
        <v>17</v>
      </c>
      <c r="S41" s="12"/>
      <c r="T41" s="12" t="b">
        <v>0</v>
      </c>
      <c r="U41" s="12"/>
      <c r="V41" s="12"/>
      <c r="W41" s="5" t="s">
        <v>1003</v>
      </c>
      <c r="X41" s="12" t="b">
        <v>0</v>
      </c>
      <c r="Y41" s="12"/>
      <c r="Z41" s="13" t="b">
        <v>0</v>
      </c>
    </row>
    <row r="42" spans="1:26">
      <c r="A42" t="s">
        <v>26</v>
      </c>
      <c r="B42" t="s">
        <v>27</v>
      </c>
      <c r="C42" t="s">
        <v>181</v>
      </c>
      <c r="D42" t="s">
        <v>127</v>
      </c>
      <c r="E42" t="s">
        <v>127</v>
      </c>
      <c r="F42" t="s">
        <v>182</v>
      </c>
      <c r="H42" t="s">
        <v>183</v>
      </c>
      <c r="J42">
        <v>12867</v>
      </c>
      <c r="L42" t="s">
        <v>180</v>
      </c>
      <c r="M42" t="s">
        <v>24</v>
      </c>
      <c r="N42" t="s">
        <v>31</v>
      </c>
      <c r="Q42" s="11" t="s">
        <v>182</v>
      </c>
      <c r="R42" s="12" t="s">
        <v>27</v>
      </c>
      <c r="S42" s="12" t="s">
        <v>27</v>
      </c>
      <c r="T42" s="12" t="b">
        <v>1</v>
      </c>
      <c r="U42" s="12">
        <v>0.95679999999999998</v>
      </c>
      <c r="V42" s="12">
        <v>454.76100000000002</v>
      </c>
      <c r="W42" s="5" t="s">
        <v>1043</v>
      </c>
      <c r="X42" s="12" t="b">
        <v>1</v>
      </c>
      <c r="Y42" s="12">
        <v>1</v>
      </c>
      <c r="Z42" s="13" t="b">
        <v>1</v>
      </c>
    </row>
    <row r="43" spans="1:26">
      <c r="A43" t="s">
        <v>184</v>
      </c>
      <c r="B43" t="s">
        <v>185</v>
      </c>
      <c r="C43" t="s">
        <v>186</v>
      </c>
      <c r="D43" t="s">
        <v>19</v>
      </c>
      <c r="E43" t="s">
        <v>20</v>
      </c>
      <c r="F43" t="s">
        <v>187</v>
      </c>
      <c r="H43" t="s">
        <v>188</v>
      </c>
      <c r="J43">
        <v>15010</v>
      </c>
      <c r="L43" t="s">
        <v>180</v>
      </c>
      <c r="M43" t="s">
        <v>24</v>
      </c>
      <c r="N43" t="s">
        <v>25</v>
      </c>
      <c r="Q43" s="11" t="s">
        <v>187</v>
      </c>
      <c r="R43" s="12" t="s">
        <v>185</v>
      </c>
      <c r="S43" s="12" t="s">
        <v>185</v>
      </c>
      <c r="T43" s="12" t="b">
        <v>1</v>
      </c>
      <c r="U43" s="12">
        <v>0.89410000000000001</v>
      </c>
      <c r="V43" s="12">
        <v>304.23930000000001</v>
      </c>
      <c r="W43" s="5" t="s">
        <v>1060</v>
      </c>
      <c r="X43" s="12" t="b">
        <v>1</v>
      </c>
      <c r="Y43" s="12">
        <v>1</v>
      </c>
      <c r="Z43" s="13" t="b">
        <v>1</v>
      </c>
    </row>
    <row r="44" spans="1:26">
      <c r="A44" t="s">
        <v>53</v>
      </c>
      <c r="B44" t="s">
        <v>54</v>
      </c>
      <c r="C44" t="s">
        <v>55</v>
      </c>
      <c r="D44" t="s">
        <v>19</v>
      </c>
      <c r="E44" t="s">
        <v>20</v>
      </c>
      <c r="F44" t="s">
        <v>53</v>
      </c>
      <c r="H44" t="s">
        <v>189</v>
      </c>
      <c r="J44">
        <v>5628</v>
      </c>
      <c r="L44" t="s">
        <v>180</v>
      </c>
      <c r="M44" t="s">
        <v>24</v>
      </c>
      <c r="N44" t="s">
        <v>25</v>
      </c>
      <c r="Q44" s="11" t="s">
        <v>53</v>
      </c>
      <c r="R44" s="12" t="s">
        <v>54</v>
      </c>
      <c r="S44" s="12" t="s">
        <v>54</v>
      </c>
      <c r="T44" s="12" t="b">
        <v>1</v>
      </c>
      <c r="U44" s="12">
        <v>0.9425</v>
      </c>
      <c r="V44" s="12">
        <v>415.05009999999999</v>
      </c>
      <c r="W44" s="5" t="s">
        <v>1046</v>
      </c>
      <c r="X44" s="12" t="b">
        <v>1</v>
      </c>
      <c r="Y44" s="12">
        <v>1</v>
      </c>
      <c r="Z44" s="13" t="b">
        <v>1</v>
      </c>
    </row>
    <row r="45" spans="1:26">
      <c r="A45" t="s">
        <v>190</v>
      </c>
      <c r="B45" t="s">
        <v>191</v>
      </c>
      <c r="C45" t="s">
        <v>192</v>
      </c>
      <c r="D45" t="s">
        <v>19</v>
      </c>
      <c r="E45" t="s">
        <v>20</v>
      </c>
      <c r="F45" t="s">
        <v>193</v>
      </c>
      <c r="H45" t="s">
        <v>22</v>
      </c>
      <c r="J45">
        <v>3130</v>
      </c>
      <c r="L45" t="s">
        <v>180</v>
      </c>
      <c r="M45" t="s">
        <v>24</v>
      </c>
      <c r="N45" t="s">
        <v>25</v>
      </c>
      <c r="Q45" s="11" t="s">
        <v>193</v>
      </c>
      <c r="R45" s="12" t="s">
        <v>191</v>
      </c>
      <c r="S45" s="12" t="s">
        <v>191</v>
      </c>
      <c r="T45" s="12" t="b">
        <v>1</v>
      </c>
      <c r="U45" s="12">
        <v>0.95530000000000004</v>
      </c>
      <c r="V45" s="12">
        <v>450.4228</v>
      </c>
      <c r="W45" s="5" t="s">
        <v>1061</v>
      </c>
      <c r="X45" s="12" t="b">
        <v>1</v>
      </c>
      <c r="Y45" s="12">
        <v>1</v>
      </c>
      <c r="Z45" s="13" t="b">
        <v>1</v>
      </c>
    </row>
    <row r="46" spans="1:26">
      <c r="A46" t="s">
        <v>68</v>
      </c>
      <c r="B46" t="s">
        <v>69</v>
      </c>
      <c r="C46" t="s">
        <v>70</v>
      </c>
      <c r="D46" t="s">
        <v>19</v>
      </c>
      <c r="E46" t="s">
        <v>20</v>
      </c>
      <c r="F46" t="s">
        <v>194</v>
      </c>
      <c r="H46" t="s">
        <v>189</v>
      </c>
      <c r="J46">
        <v>3155</v>
      </c>
      <c r="L46" t="s">
        <v>180</v>
      </c>
      <c r="M46" t="s">
        <v>24</v>
      </c>
      <c r="N46" t="s">
        <v>31</v>
      </c>
      <c r="Q46" s="11" t="s">
        <v>194</v>
      </c>
      <c r="R46" s="12" t="s">
        <v>69</v>
      </c>
      <c r="S46" s="12" t="s">
        <v>69</v>
      </c>
      <c r="T46" s="12" t="b">
        <v>1</v>
      </c>
      <c r="U46" s="12">
        <v>0.83309999999999995</v>
      </c>
      <c r="V46" s="12">
        <v>205.517</v>
      </c>
      <c r="W46" s="5" t="s">
        <v>1050</v>
      </c>
      <c r="X46" s="12" t="b">
        <v>1</v>
      </c>
      <c r="Y46" s="12">
        <v>1</v>
      </c>
      <c r="Z46" s="13" t="b">
        <v>1</v>
      </c>
    </row>
    <row r="47" spans="1:26">
      <c r="A47" t="s">
        <v>195</v>
      </c>
      <c r="B47" t="s">
        <v>196</v>
      </c>
      <c r="C47" t="s">
        <v>197</v>
      </c>
      <c r="D47" t="s">
        <v>19</v>
      </c>
      <c r="E47" t="s">
        <v>20</v>
      </c>
      <c r="F47" t="s">
        <v>198</v>
      </c>
      <c r="H47" t="s">
        <v>189</v>
      </c>
      <c r="J47">
        <v>3098</v>
      </c>
      <c r="L47" t="s">
        <v>180</v>
      </c>
      <c r="M47" t="s">
        <v>24</v>
      </c>
      <c r="N47" t="s">
        <v>25</v>
      </c>
      <c r="Q47" s="11" t="s">
        <v>198</v>
      </c>
      <c r="R47" s="12" t="s">
        <v>196</v>
      </c>
      <c r="S47" s="12" t="s">
        <v>196</v>
      </c>
      <c r="T47" s="12" t="b">
        <v>1</v>
      </c>
      <c r="U47" s="12">
        <v>0.90510000000000002</v>
      </c>
      <c r="V47" s="12">
        <v>326.42770000000002</v>
      </c>
      <c r="W47" s="5" t="s">
        <v>1062</v>
      </c>
      <c r="X47" s="12" t="b">
        <v>1</v>
      </c>
      <c r="Y47" s="12">
        <v>1</v>
      </c>
      <c r="Z47" s="13" t="b">
        <v>1</v>
      </c>
    </row>
    <row r="48" spans="1:26">
      <c r="A48" t="s">
        <v>199</v>
      </c>
      <c r="B48" t="s">
        <v>200</v>
      </c>
      <c r="C48" t="s">
        <v>201</v>
      </c>
      <c r="D48" t="s">
        <v>19</v>
      </c>
      <c r="E48" t="s">
        <v>20</v>
      </c>
      <c r="F48" t="s">
        <v>202</v>
      </c>
      <c r="H48" t="s">
        <v>203</v>
      </c>
      <c r="J48">
        <v>3240</v>
      </c>
      <c r="L48" t="s">
        <v>180</v>
      </c>
      <c r="M48" t="s">
        <v>24</v>
      </c>
      <c r="N48" t="s">
        <v>25</v>
      </c>
      <c r="Q48" s="11" t="s">
        <v>202</v>
      </c>
      <c r="R48" s="12" t="s">
        <v>200</v>
      </c>
      <c r="S48" s="12" t="s">
        <v>200</v>
      </c>
      <c r="T48" s="12" t="b">
        <v>1</v>
      </c>
      <c r="U48" s="12">
        <v>0.87239999999999995</v>
      </c>
      <c r="V48" s="12">
        <v>264.64780000000002</v>
      </c>
      <c r="W48" s="5" t="s">
        <v>1006</v>
      </c>
      <c r="X48" s="12" t="b">
        <v>1</v>
      </c>
      <c r="Y48" s="12">
        <v>1</v>
      </c>
      <c r="Z48" s="13" t="b">
        <v>1</v>
      </c>
    </row>
    <row r="49" spans="1:26">
      <c r="A49" t="s">
        <v>204</v>
      </c>
      <c r="B49" t="s">
        <v>205</v>
      </c>
      <c r="C49" t="s">
        <v>206</v>
      </c>
      <c r="D49" t="s">
        <v>19</v>
      </c>
      <c r="E49" t="s">
        <v>20</v>
      </c>
      <c r="F49" t="s">
        <v>207</v>
      </c>
      <c r="H49" t="s">
        <v>208</v>
      </c>
      <c r="J49">
        <v>10566</v>
      </c>
      <c r="L49" t="s">
        <v>180</v>
      </c>
      <c r="M49" t="s">
        <v>24</v>
      </c>
      <c r="N49" t="s">
        <v>31</v>
      </c>
      <c r="Q49" s="11" t="s">
        <v>207</v>
      </c>
      <c r="R49" s="12" t="s">
        <v>205</v>
      </c>
      <c r="S49" s="12" t="s">
        <v>205</v>
      </c>
      <c r="T49" s="12" t="b">
        <v>1</v>
      </c>
      <c r="U49" s="12">
        <v>1</v>
      </c>
      <c r="V49" s="12">
        <v>788.2912</v>
      </c>
      <c r="W49" s="5" t="s">
        <v>1007</v>
      </c>
      <c r="X49" s="12" t="b">
        <v>1</v>
      </c>
      <c r="Y49" s="12">
        <v>1</v>
      </c>
      <c r="Z49" s="13" t="b">
        <v>1</v>
      </c>
    </row>
    <row r="50" spans="1:26">
      <c r="A50" t="s">
        <v>209</v>
      </c>
      <c r="B50" t="s">
        <v>210</v>
      </c>
      <c r="C50" t="s">
        <v>211</v>
      </c>
      <c r="D50" t="s">
        <v>19</v>
      </c>
      <c r="E50" t="s">
        <v>20</v>
      </c>
      <c r="F50" t="s">
        <v>212</v>
      </c>
      <c r="H50" t="s">
        <v>189</v>
      </c>
      <c r="J50">
        <v>9059</v>
      </c>
      <c r="L50" t="s">
        <v>180</v>
      </c>
      <c r="M50" t="s">
        <v>24</v>
      </c>
      <c r="N50" t="s">
        <v>25</v>
      </c>
      <c r="Q50" s="11" t="s">
        <v>212</v>
      </c>
      <c r="R50" s="12" t="s">
        <v>210</v>
      </c>
      <c r="S50" s="12" t="s">
        <v>210</v>
      </c>
      <c r="T50" s="12" t="b">
        <v>1</v>
      </c>
      <c r="U50" s="12">
        <v>0.89380000000000004</v>
      </c>
      <c r="V50" s="12">
        <v>303.59100000000001</v>
      </c>
      <c r="W50" s="5" t="s">
        <v>210</v>
      </c>
      <c r="X50" s="12" t="b">
        <v>1</v>
      </c>
      <c r="Y50" s="12">
        <v>1</v>
      </c>
      <c r="Z50" s="13" t="b">
        <v>1</v>
      </c>
    </row>
    <row r="51" spans="1:26">
      <c r="A51" t="s">
        <v>213</v>
      </c>
      <c r="B51" t="s">
        <v>214</v>
      </c>
      <c r="C51" t="s">
        <v>215</v>
      </c>
      <c r="D51" t="s">
        <v>44</v>
      </c>
      <c r="E51" t="s">
        <v>20</v>
      </c>
      <c r="F51" t="s">
        <v>216</v>
      </c>
      <c r="H51" t="s">
        <v>217</v>
      </c>
      <c r="J51">
        <v>10523</v>
      </c>
      <c r="L51" t="s">
        <v>180</v>
      </c>
      <c r="M51" t="s">
        <v>24</v>
      </c>
      <c r="N51" t="s">
        <v>49</v>
      </c>
      <c r="Q51" s="11" t="s">
        <v>216</v>
      </c>
      <c r="R51" s="12" t="s">
        <v>214</v>
      </c>
      <c r="S51" s="12"/>
      <c r="T51" s="12" t="b">
        <v>0</v>
      </c>
      <c r="U51" s="12"/>
      <c r="V51" s="12"/>
      <c r="W51" s="5" t="s">
        <v>1008</v>
      </c>
      <c r="X51" s="12" t="b">
        <v>0</v>
      </c>
      <c r="Y51" s="12"/>
      <c r="Z51" s="13" t="b">
        <v>0</v>
      </c>
    </row>
    <row r="52" spans="1:26">
      <c r="A52" t="s">
        <v>213</v>
      </c>
      <c r="B52" t="s">
        <v>214</v>
      </c>
      <c r="C52" t="s">
        <v>218</v>
      </c>
      <c r="D52" t="s">
        <v>19</v>
      </c>
      <c r="E52" t="s">
        <v>20</v>
      </c>
      <c r="F52" t="s">
        <v>216</v>
      </c>
      <c r="H52" t="s">
        <v>219</v>
      </c>
      <c r="J52">
        <v>10521</v>
      </c>
      <c r="L52" t="s">
        <v>180</v>
      </c>
      <c r="M52" t="s">
        <v>24</v>
      </c>
      <c r="N52" t="s">
        <v>49</v>
      </c>
      <c r="Q52" s="11" t="s">
        <v>216</v>
      </c>
      <c r="R52" s="12" t="s">
        <v>214</v>
      </c>
      <c r="S52" s="12"/>
      <c r="T52" s="12" t="b">
        <v>0</v>
      </c>
      <c r="U52" s="12"/>
      <c r="V52" s="12"/>
      <c r="W52" s="5" t="s">
        <v>1008</v>
      </c>
      <c r="X52" s="12" t="b">
        <v>0</v>
      </c>
      <c r="Y52" s="12"/>
      <c r="Z52" s="13" t="b">
        <v>0</v>
      </c>
    </row>
    <row r="53" spans="1:26">
      <c r="A53" t="s">
        <v>220</v>
      </c>
      <c r="B53" t="s">
        <v>221</v>
      </c>
      <c r="C53" t="s">
        <v>222</v>
      </c>
      <c r="D53" t="s">
        <v>19</v>
      </c>
      <c r="E53" t="s">
        <v>20</v>
      </c>
      <c r="F53" t="s">
        <v>223</v>
      </c>
      <c r="H53" t="s">
        <v>22</v>
      </c>
      <c r="J53">
        <v>9770</v>
      </c>
      <c r="L53" t="s">
        <v>180</v>
      </c>
      <c r="M53" t="s">
        <v>24</v>
      </c>
      <c r="N53" t="s">
        <v>49</v>
      </c>
      <c r="P53" t="s">
        <v>1009</v>
      </c>
      <c r="Q53" s="11" t="s">
        <v>223</v>
      </c>
      <c r="R53" s="12" t="s">
        <v>221</v>
      </c>
      <c r="S53" s="12" t="s">
        <v>221</v>
      </c>
      <c r="T53" s="12" t="b">
        <v>1</v>
      </c>
      <c r="U53" s="12">
        <v>0.90810000000000002</v>
      </c>
      <c r="V53" s="12">
        <v>332.8981</v>
      </c>
      <c r="W53" s="5" t="s">
        <v>1063</v>
      </c>
      <c r="X53" s="12" t="b">
        <v>1</v>
      </c>
      <c r="Y53" s="12">
        <v>1</v>
      </c>
      <c r="Z53" s="13" t="b">
        <v>1</v>
      </c>
    </row>
    <row r="54" spans="1:26">
      <c r="A54" t="s">
        <v>224</v>
      </c>
      <c r="B54" t="s">
        <v>148</v>
      </c>
      <c r="C54" t="s">
        <v>149</v>
      </c>
      <c r="D54" t="s">
        <v>19</v>
      </c>
      <c r="E54" t="s">
        <v>20</v>
      </c>
      <c r="F54" t="s">
        <v>225</v>
      </c>
      <c r="H54" t="s">
        <v>226</v>
      </c>
      <c r="J54">
        <v>15418</v>
      </c>
      <c r="L54" t="s">
        <v>180</v>
      </c>
      <c r="M54" t="s">
        <v>24</v>
      </c>
      <c r="N54" t="s">
        <v>25</v>
      </c>
      <c r="Q54" s="11" t="s">
        <v>225</v>
      </c>
      <c r="R54" s="12" t="s">
        <v>148</v>
      </c>
      <c r="S54" s="12" t="s">
        <v>148</v>
      </c>
      <c r="T54" s="12" t="b">
        <v>1</v>
      </c>
      <c r="U54" s="12">
        <v>0.88849999999999996</v>
      </c>
      <c r="V54" s="12">
        <v>293.37959999999998</v>
      </c>
      <c r="W54" s="5" t="s">
        <v>1055</v>
      </c>
      <c r="X54" s="12" t="b">
        <v>1</v>
      </c>
      <c r="Y54" s="12">
        <v>1</v>
      </c>
      <c r="Z54" s="13" t="b">
        <v>1</v>
      </c>
    </row>
    <row r="55" spans="1:26">
      <c r="A55" t="s">
        <v>227</v>
      </c>
      <c r="B55" t="s">
        <v>158</v>
      </c>
      <c r="C55" t="s">
        <v>159</v>
      </c>
      <c r="D55" t="s">
        <v>19</v>
      </c>
      <c r="E55" t="s">
        <v>20</v>
      </c>
      <c r="F55" t="s">
        <v>228</v>
      </c>
      <c r="H55" t="s">
        <v>229</v>
      </c>
      <c r="J55">
        <v>12829</v>
      </c>
      <c r="L55" t="s">
        <v>180</v>
      </c>
      <c r="M55" t="s">
        <v>24</v>
      </c>
      <c r="N55" t="s">
        <v>49</v>
      </c>
      <c r="Q55" s="11" t="s">
        <v>228</v>
      </c>
      <c r="R55" s="12" t="s">
        <v>158</v>
      </c>
      <c r="S55" s="12"/>
      <c r="T55" s="12" t="b">
        <v>0</v>
      </c>
      <c r="U55" s="12">
        <v>0.79659999999999997</v>
      </c>
      <c r="V55" s="12">
        <v>162.511</v>
      </c>
      <c r="W55" s="5" t="s">
        <v>1064</v>
      </c>
      <c r="X55" s="12" t="b">
        <v>1</v>
      </c>
      <c r="Y55" s="12">
        <v>8</v>
      </c>
      <c r="Z55" s="13" t="b">
        <v>1</v>
      </c>
    </row>
    <row r="56" spans="1:26">
      <c r="A56" t="s">
        <v>230</v>
      </c>
      <c r="B56" t="s">
        <v>231</v>
      </c>
      <c r="C56" t="s">
        <v>232</v>
      </c>
      <c r="D56" t="s">
        <v>127</v>
      </c>
      <c r="E56" t="s">
        <v>127</v>
      </c>
      <c r="F56" t="s">
        <v>233</v>
      </c>
      <c r="H56" t="s">
        <v>234</v>
      </c>
      <c r="J56">
        <v>23253</v>
      </c>
      <c r="L56" t="s">
        <v>180</v>
      </c>
      <c r="M56" t="s">
        <v>24</v>
      </c>
      <c r="N56" t="s">
        <v>49</v>
      </c>
      <c r="Q56" s="11" t="s">
        <v>233</v>
      </c>
      <c r="R56" s="12" t="s">
        <v>231</v>
      </c>
      <c r="S56" s="12" t="s">
        <v>233</v>
      </c>
      <c r="T56" s="12" t="b">
        <v>0</v>
      </c>
      <c r="U56" s="12">
        <v>1</v>
      </c>
      <c r="V56" s="12">
        <v>1092.4920999999999</v>
      </c>
      <c r="W56" s="5" t="s">
        <v>1065</v>
      </c>
      <c r="X56" s="12" t="b">
        <v>0</v>
      </c>
      <c r="Y56" s="12"/>
      <c r="Z56" s="13" t="b">
        <v>1</v>
      </c>
    </row>
    <row r="57" spans="1:26">
      <c r="A57" t="s">
        <v>235</v>
      </c>
      <c r="B57" t="s">
        <v>236</v>
      </c>
      <c r="C57" t="s">
        <v>237</v>
      </c>
      <c r="D57" t="s">
        <v>19</v>
      </c>
      <c r="E57" t="s">
        <v>20</v>
      </c>
      <c r="F57" t="s">
        <v>238</v>
      </c>
      <c r="H57" t="s">
        <v>239</v>
      </c>
      <c r="J57">
        <v>13567</v>
      </c>
      <c r="L57" t="s">
        <v>180</v>
      </c>
      <c r="M57" t="s">
        <v>24</v>
      </c>
      <c r="N57" t="s">
        <v>49</v>
      </c>
      <c r="Q57" s="11" t="s">
        <v>238</v>
      </c>
      <c r="R57" s="12" t="s">
        <v>236</v>
      </c>
      <c r="S57" s="12"/>
      <c r="T57" s="12" t="b">
        <v>0</v>
      </c>
      <c r="U57" s="12"/>
      <c r="V57" s="12"/>
      <c r="W57" s="5" t="s">
        <v>1066</v>
      </c>
      <c r="X57" s="12" t="b">
        <v>0</v>
      </c>
      <c r="Y57" s="12"/>
      <c r="Z57" s="13" t="b">
        <v>0</v>
      </c>
    </row>
    <row r="58" spans="1:26">
      <c r="A58" t="s">
        <v>240</v>
      </c>
      <c r="B58" t="s">
        <v>241</v>
      </c>
      <c r="C58" t="s">
        <v>242</v>
      </c>
      <c r="D58" t="s">
        <v>19</v>
      </c>
      <c r="E58" t="s">
        <v>20</v>
      </c>
      <c r="F58" t="s">
        <v>243</v>
      </c>
      <c r="H58" t="s">
        <v>244</v>
      </c>
      <c r="J58">
        <v>11807</v>
      </c>
      <c r="L58" t="s">
        <v>180</v>
      </c>
      <c r="M58" t="s">
        <v>24</v>
      </c>
      <c r="N58" t="s">
        <v>31</v>
      </c>
      <c r="Q58" s="11" t="s">
        <v>243</v>
      </c>
      <c r="R58" s="12" t="s">
        <v>241</v>
      </c>
      <c r="S58" s="12" t="s">
        <v>241</v>
      </c>
      <c r="T58" s="12" t="b">
        <v>1</v>
      </c>
      <c r="U58" s="12">
        <v>0.79139999999999999</v>
      </c>
      <c r="V58" s="12">
        <v>157.2165</v>
      </c>
      <c r="W58" s="5" t="s">
        <v>1013</v>
      </c>
      <c r="X58" s="12" t="b">
        <v>1</v>
      </c>
      <c r="Y58" s="12">
        <v>1</v>
      </c>
      <c r="Z58" s="13" t="b">
        <v>1</v>
      </c>
    </row>
    <row r="59" spans="1:26">
      <c r="A59" t="s">
        <v>245</v>
      </c>
      <c r="B59" t="s">
        <v>246</v>
      </c>
      <c r="C59" t="s">
        <v>247</v>
      </c>
      <c r="D59" t="s">
        <v>19</v>
      </c>
      <c r="E59" t="s">
        <v>20</v>
      </c>
      <c r="F59" t="s">
        <v>248</v>
      </c>
      <c r="H59" t="s">
        <v>249</v>
      </c>
      <c r="J59">
        <v>14568</v>
      </c>
      <c r="L59" t="s">
        <v>180</v>
      </c>
      <c r="M59" t="s">
        <v>24</v>
      </c>
      <c r="N59" t="s">
        <v>31</v>
      </c>
      <c r="Q59" s="11" t="s">
        <v>248</v>
      </c>
      <c r="R59" s="12" t="s">
        <v>246</v>
      </c>
      <c r="S59" s="12" t="s">
        <v>246</v>
      </c>
      <c r="T59" s="12" t="b">
        <v>1</v>
      </c>
      <c r="U59" s="12">
        <v>0.97050000000000003</v>
      </c>
      <c r="V59" s="12">
        <v>496.70409999999998</v>
      </c>
      <c r="W59" s="5" t="s">
        <v>1014</v>
      </c>
      <c r="X59" s="12" t="b">
        <v>1</v>
      </c>
      <c r="Y59" s="12">
        <v>1</v>
      </c>
      <c r="Z59" s="13" t="b">
        <v>1</v>
      </c>
    </row>
    <row r="60" spans="1:26">
      <c r="A60" t="s">
        <v>184</v>
      </c>
      <c r="B60" t="s">
        <v>185</v>
      </c>
      <c r="C60" t="s">
        <v>186</v>
      </c>
      <c r="D60" t="s">
        <v>19</v>
      </c>
      <c r="E60" t="s">
        <v>20</v>
      </c>
      <c r="F60" t="s">
        <v>184</v>
      </c>
      <c r="H60" t="s">
        <v>250</v>
      </c>
      <c r="K60" t="s">
        <v>251</v>
      </c>
      <c r="L60" t="s">
        <v>252</v>
      </c>
      <c r="M60" t="s">
        <v>24</v>
      </c>
      <c r="N60" t="s">
        <v>25</v>
      </c>
      <c r="Q60" s="11" t="s">
        <v>184</v>
      </c>
      <c r="R60" s="12" t="s">
        <v>185</v>
      </c>
      <c r="S60" s="12" t="s">
        <v>185</v>
      </c>
      <c r="T60" s="12" t="b">
        <v>1</v>
      </c>
      <c r="U60" s="12">
        <v>0.89410000000000001</v>
      </c>
      <c r="V60" s="12">
        <v>304.23930000000001</v>
      </c>
      <c r="W60" s="5" t="s">
        <v>1060</v>
      </c>
      <c r="X60" s="12" t="b">
        <v>1</v>
      </c>
      <c r="Y60" s="12">
        <v>1</v>
      </c>
      <c r="Z60" s="13" t="b">
        <v>1</v>
      </c>
    </row>
    <row r="61" spans="1:26">
      <c r="A61" t="s">
        <v>253</v>
      </c>
      <c r="B61" t="s">
        <v>214</v>
      </c>
      <c r="C61" t="s">
        <v>254</v>
      </c>
      <c r="D61" t="s">
        <v>127</v>
      </c>
      <c r="E61" t="s">
        <v>127</v>
      </c>
      <c r="F61" t="s">
        <v>253</v>
      </c>
      <c r="H61" t="s">
        <v>127</v>
      </c>
      <c r="K61">
        <v>1680</v>
      </c>
      <c r="L61" t="s">
        <v>252</v>
      </c>
      <c r="M61" t="s">
        <v>24</v>
      </c>
      <c r="N61" t="s">
        <v>31</v>
      </c>
      <c r="Q61" s="11" t="s">
        <v>253</v>
      </c>
      <c r="R61" s="12" t="s">
        <v>214</v>
      </c>
      <c r="S61" s="12" t="s">
        <v>214</v>
      </c>
      <c r="T61" s="12" t="b">
        <v>1</v>
      </c>
      <c r="U61" s="12">
        <v>1.1903999999999999</v>
      </c>
      <c r="V61" s="12">
        <v>564.34870000000001</v>
      </c>
      <c r="W61" s="5" t="s">
        <v>1067</v>
      </c>
      <c r="X61" s="12" t="b">
        <v>1</v>
      </c>
      <c r="Y61" s="12">
        <v>1</v>
      </c>
      <c r="Z61" s="13" t="b">
        <v>1</v>
      </c>
    </row>
    <row r="62" spans="1:26">
      <c r="A62" t="s">
        <v>255</v>
      </c>
      <c r="B62" t="s">
        <v>256</v>
      </c>
      <c r="C62" t="s">
        <v>257</v>
      </c>
      <c r="D62" t="s">
        <v>79</v>
      </c>
      <c r="E62" t="s">
        <v>20</v>
      </c>
      <c r="F62" t="s">
        <v>258</v>
      </c>
      <c r="H62" t="s">
        <v>259</v>
      </c>
      <c r="K62" t="s">
        <v>260</v>
      </c>
      <c r="L62" t="s">
        <v>252</v>
      </c>
      <c r="M62" t="s">
        <v>24</v>
      </c>
      <c r="N62" t="s">
        <v>31</v>
      </c>
      <c r="Q62" s="11" t="s">
        <v>1016</v>
      </c>
      <c r="R62" s="12" t="s">
        <v>256</v>
      </c>
      <c r="S62" s="12" t="s">
        <v>256</v>
      </c>
      <c r="T62" s="12" t="b">
        <v>1</v>
      </c>
      <c r="U62" s="12">
        <v>1</v>
      </c>
      <c r="V62" s="12">
        <v>808.79390000000001</v>
      </c>
      <c r="W62" s="5" t="s">
        <v>256</v>
      </c>
      <c r="X62" s="12" t="b">
        <v>1</v>
      </c>
      <c r="Y62" s="12">
        <v>1</v>
      </c>
      <c r="Z62" s="13" t="b">
        <v>1</v>
      </c>
    </row>
    <row r="63" spans="1:26">
      <c r="A63" t="s">
        <v>261</v>
      </c>
      <c r="B63" t="s">
        <v>262</v>
      </c>
      <c r="C63" t="s">
        <v>263</v>
      </c>
      <c r="D63" t="s">
        <v>19</v>
      </c>
      <c r="E63" t="s">
        <v>20</v>
      </c>
      <c r="F63" t="s">
        <v>261</v>
      </c>
      <c r="H63" t="s">
        <v>189</v>
      </c>
      <c r="K63" t="s">
        <v>264</v>
      </c>
      <c r="L63" t="s">
        <v>252</v>
      </c>
      <c r="M63" t="s">
        <v>24</v>
      </c>
      <c r="N63" t="s">
        <v>31</v>
      </c>
      <c r="Q63" s="11" t="s">
        <v>261</v>
      </c>
      <c r="R63" s="12" t="s">
        <v>262</v>
      </c>
      <c r="S63" s="12" t="s">
        <v>262</v>
      </c>
      <c r="T63" s="12" t="b">
        <v>1</v>
      </c>
      <c r="U63" s="12">
        <v>0.99519999999999997</v>
      </c>
      <c r="V63" s="12">
        <v>581.69590000000005</v>
      </c>
      <c r="W63" s="5" t="s">
        <v>1068</v>
      </c>
      <c r="X63" s="12" t="b">
        <v>1</v>
      </c>
      <c r="Y63" s="12">
        <v>1</v>
      </c>
      <c r="Z63" s="13" t="b">
        <v>1</v>
      </c>
    </row>
    <row r="64" spans="1:26">
      <c r="A64" t="s">
        <v>265</v>
      </c>
      <c r="B64" t="s">
        <v>266</v>
      </c>
      <c r="C64" t="s">
        <v>267</v>
      </c>
      <c r="D64" t="s">
        <v>19</v>
      </c>
      <c r="E64" t="s">
        <v>20</v>
      </c>
      <c r="F64" t="s">
        <v>268</v>
      </c>
      <c r="H64" t="s">
        <v>269</v>
      </c>
      <c r="K64">
        <v>2207</v>
      </c>
      <c r="L64" t="s">
        <v>252</v>
      </c>
      <c r="M64" t="s">
        <v>24</v>
      </c>
      <c r="N64" t="s">
        <v>49</v>
      </c>
      <c r="Q64" s="11" t="s">
        <v>268</v>
      </c>
      <c r="R64" s="12" t="s">
        <v>266</v>
      </c>
      <c r="S64" s="12" t="s">
        <v>266</v>
      </c>
      <c r="T64" s="12" t="b">
        <v>1</v>
      </c>
      <c r="U64" s="12">
        <v>0.85829999999999995</v>
      </c>
      <c r="V64" s="12">
        <v>241.69810000000001</v>
      </c>
      <c r="W64" s="5" t="s">
        <v>1069</v>
      </c>
      <c r="X64" s="12" t="b">
        <v>1</v>
      </c>
      <c r="Y64" s="12">
        <v>1</v>
      </c>
      <c r="Z64" s="13" t="b">
        <v>1</v>
      </c>
    </row>
    <row r="65" spans="1:26">
      <c r="A65" t="s">
        <v>270</v>
      </c>
      <c r="B65" t="s">
        <v>271</v>
      </c>
      <c r="C65" s="3" t="s">
        <v>272</v>
      </c>
      <c r="D65" t="s">
        <v>79</v>
      </c>
      <c r="E65" t="s">
        <v>20</v>
      </c>
      <c r="F65" t="s">
        <v>273</v>
      </c>
      <c r="H65" t="s">
        <v>259</v>
      </c>
      <c r="K65">
        <v>1915</v>
      </c>
      <c r="L65" t="s">
        <v>252</v>
      </c>
      <c r="M65" t="s">
        <v>24</v>
      </c>
      <c r="N65" t="s">
        <v>25</v>
      </c>
      <c r="Q65" s="11" t="s">
        <v>273</v>
      </c>
      <c r="R65" s="12" t="s">
        <v>271</v>
      </c>
      <c r="S65" s="12" t="s">
        <v>271</v>
      </c>
      <c r="T65" s="12" t="b">
        <v>1</v>
      </c>
      <c r="U65" s="12">
        <v>0.90690000000000004</v>
      </c>
      <c r="V65" s="12">
        <v>330.32560000000001</v>
      </c>
      <c r="W65" s="5" t="s">
        <v>1070</v>
      </c>
      <c r="X65" s="12" t="b">
        <v>1</v>
      </c>
      <c r="Y65" s="12">
        <v>1</v>
      </c>
      <c r="Z65" s="13" t="b">
        <v>1</v>
      </c>
    </row>
    <row r="66" spans="1:26">
      <c r="A66" t="s">
        <v>274</v>
      </c>
      <c r="B66" t="s">
        <v>275</v>
      </c>
      <c r="C66" t="s">
        <v>276</v>
      </c>
      <c r="D66" t="s">
        <v>44</v>
      </c>
      <c r="E66" t="s">
        <v>20</v>
      </c>
      <c r="F66" t="s">
        <v>277</v>
      </c>
      <c r="H66" t="s">
        <v>278</v>
      </c>
      <c r="K66">
        <v>1926</v>
      </c>
      <c r="L66" t="s">
        <v>252</v>
      </c>
      <c r="M66" t="s">
        <v>24</v>
      </c>
      <c r="N66" t="s">
        <v>31</v>
      </c>
      <c r="Q66" s="11" t="s">
        <v>277</v>
      </c>
      <c r="R66" s="12" t="s">
        <v>275</v>
      </c>
      <c r="S66" s="12" t="s">
        <v>275</v>
      </c>
      <c r="T66" s="12" t="b">
        <v>1</v>
      </c>
      <c r="U66" s="12">
        <v>1</v>
      </c>
      <c r="V66" s="12">
        <v>802.15549999999996</v>
      </c>
      <c r="W66" s="5" t="s">
        <v>275</v>
      </c>
      <c r="X66" s="12" t="b">
        <v>1</v>
      </c>
      <c r="Y66" s="12">
        <v>1</v>
      </c>
      <c r="Z66" s="13" t="b">
        <v>1</v>
      </c>
    </row>
    <row r="67" spans="1:26">
      <c r="A67" t="s">
        <v>279</v>
      </c>
      <c r="B67" t="s">
        <v>280</v>
      </c>
      <c r="C67" t="s">
        <v>281</v>
      </c>
      <c r="D67" t="s">
        <v>79</v>
      </c>
      <c r="E67" t="s">
        <v>20</v>
      </c>
      <c r="F67" t="s">
        <v>282</v>
      </c>
      <c r="H67" t="s">
        <v>82</v>
      </c>
      <c r="K67" t="s">
        <v>283</v>
      </c>
      <c r="L67" t="s">
        <v>252</v>
      </c>
      <c r="M67" t="s">
        <v>24</v>
      </c>
      <c r="N67" t="s">
        <v>25</v>
      </c>
      <c r="Q67" s="11" t="s">
        <v>282</v>
      </c>
      <c r="R67" s="12" t="s">
        <v>280</v>
      </c>
      <c r="S67" s="12" t="s">
        <v>280</v>
      </c>
      <c r="T67" s="12" t="b">
        <v>1</v>
      </c>
      <c r="U67" s="12">
        <v>0.87809999999999999</v>
      </c>
      <c r="V67" s="12">
        <v>274.58620000000002</v>
      </c>
      <c r="W67" s="5" t="s">
        <v>1071</v>
      </c>
      <c r="X67" s="12" t="b">
        <v>1</v>
      </c>
      <c r="Y67" s="12">
        <v>1</v>
      </c>
      <c r="Z67" s="13" t="b">
        <v>1</v>
      </c>
    </row>
    <row r="68" spans="1:26">
      <c r="A68" t="s">
        <v>284</v>
      </c>
      <c r="B68" t="s">
        <v>285</v>
      </c>
      <c r="C68" t="s">
        <v>286</v>
      </c>
      <c r="D68" t="s">
        <v>127</v>
      </c>
      <c r="E68" t="s">
        <v>127</v>
      </c>
      <c r="F68" t="s">
        <v>284</v>
      </c>
      <c r="H68" t="s">
        <v>127</v>
      </c>
      <c r="K68">
        <v>1766</v>
      </c>
      <c r="L68" t="s">
        <v>252</v>
      </c>
      <c r="M68" t="s">
        <v>24</v>
      </c>
      <c r="N68" t="s">
        <v>25</v>
      </c>
      <c r="Q68" s="11" t="s">
        <v>284</v>
      </c>
      <c r="R68" s="12" t="s">
        <v>285</v>
      </c>
      <c r="S68" s="12" t="s">
        <v>285</v>
      </c>
      <c r="T68" s="12" t="b">
        <v>1</v>
      </c>
      <c r="U68" s="12">
        <v>0.92320000000000002</v>
      </c>
      <c r="V68" s="12">
        <v>366.72030000000001</v>
      </c>
      <c r="W68" s="5" t="s">
        <v>1019</v>
      </c>
      <c r="X68" s="12" t="b">
        <v>1</v>
      </c>
      <c r="Y68" s="12">
        <v>1</v>
      </c>
      <c r="Z68" s="13" t="b">
        <v>1</v>
      </c>
    </row>
    <row r="69" spans="1:26">
      <c r="A69" t="s">
        <v>287</v>
      </c>
      <c r="B69" t="s">
        <v>288</v>
      </c>
      <c r="C69" t="s">
        <v>289</v>
      </c>
      <c r="D69" t="s">
        <v>127</v>
      </c>
      <c r="E69" t="s">
        <v>127</v>
      </c>
      <c r="F69" t="s">
        <v>290</v>
      </c>
      <c r="H69" t="s">
        <v>127</v>
      </c>
      <c r="K69">
        <v>1687</v>
      </c>
      <c r="L69" t="s">
        <v>252</v>
      </c>
      <c r="M69" t="s">
        <v>24</v>
      </c>
      <c r="N69" t="s">
        <v>25</v>
      </c>
      <c r="Q69" s="11" t="s">
        <v>290</v>
      </c>
      <c r="R69" s="12" t="s">
        <v>288</v>
      </c>
      <c r="S69" s="12" t="s">
        <v>288</v>
      </c>
      <c r="T69" s="12" t="b">
        <v>1</v>
      </c>
      <c r="U69" s="12">
        <v>0.87670000000000003</v>
      </c>
      <c r="V69" s="12">
        <v>272.04379999999998</v>
      </c>
      <c r="W69" s="5" t="s">
        <v>1020</v>
      </c>
      <c r="X69" s="12" t="b">
        <v>1</v>
      </c>
      <c r="Y69" s="12">
        <v>1</v>
      </c>
      <c r="Z69" s="13" t="b">
        <v>1</v>
      </c>
    </row>
    <row r="70" spans="1:26">
      <c r="A70" t="s">
        <v>291</v>
      </c>
      <c r="B70" t="s">
        <v>292</v>
      </c>
      <c r="C70" t="s">
        <v>293</v>
      </c>
      <c r="D70" t="s">
        <v>19</v>
      </c>
      <c r="E70" t="s">
        <v>20</v>
      </c>
      <c r="F70" t="s">
        <v>291</v>
      </c>
      <c r="H70" t="s">
        <v>294</v>
      </c>
      <c r="K70" t="s">
        <v>295</v>
      </c>
      <c r="L70" t="s">
        <v>252</v>
      </c>
      <c r="M70" t="s">
        <v>24</v>
      </c>
      <c r="N70" t="s">
        <v>25</v>
      </c>
      <c r="Q70" s="11" t="s">
        <v>291</v>
      </c>
      <c r="R70" s="12" t="s">
        <v>292</v>
      </c>
      <c r="S70" s="12" t="s">
        <v>292</v>
      </c>
      <c r="T70" s="12" t="b">
        <v>1</v>
      </c>
      <c r="U70" s="12">
        <v>0.91490000000000005</v>
      </c>
      <c r="V70" s="12">
        <v>347.76220000000001</v>
      </c>
      <c r="W70" s="5" t="s">
        <v>1072</v>
      </c>
      <c r="X70" s="12" t="b">
        <v>1</v>
      </c>
      <c r="Y70" s="12">
        <v>1</v>
      </c>
      <c r="Z70" s="13" t="b">
        <v>1</v>
      </c>
    </row>
    <row r="71" spans="1:26">
      <c r="A71" t="s">
        <v>296</v>
      </c>
      <c r="B71" t="s">
        <v>297</v>
      </c>
      <c r="C71" t="s">
        <v>298</v>
      </c>
      <c r="D71" t="s">
        <v>19</v>
      </c>
      <c r="E71" t="s">
        <v>20</v>
      </c>
      <c r="F71" t="s">
        <v>299</v>
      </c>
      <c r="H71" t="s">
        <v>300</v>
      </c>
      <c r="K71" t="s">
        <v>301</v>
      </c>
      <c r="L71" t="s">
        <v>252</v>
      </c>
      <c r="M71" t="s">
        <v>24</v>
      </c>
      <c r="N71" t="s">
        <v>25</v>
      </c>
      <c r="Q71" s="11" t="s">
        <v>299</v>
      </c>
      <c r="R71" s="12" t="s">
        <v>297</v>
      </c>
      <c r="S71" s="12" t="s">
        <v>297</v>
      </c>
      <c r="T71" s="12" t="b">
        <v>1</v>
      </c>
      <c r="U71" s="12">
        <v>0.92620000000000002</v>
      </c>
      <c r="V71" s="12">
        <v>373.74930000000001</v>
      </c>
      <c r="W71" s="5" t="s">
        <v>1022</v>
      </c>
      <c r="X71" s="12" t="b">
        <v>1</v>
      </c>
      <c r="Y71" s="12">
        <v>1</v>
      </c>
      <c r="Z71" s="13" t="b">
        <v>1</v>
      </c>
    </row>
    <row r="72" spans="1:26">
      <c r="A72" t="s">
        <v>302</v>
      </c>
      <c r="B72" t="s">
        <v>100</v>
      </c>
      <c r="C72" t="s">
        <v>303</v>
      </c>
      <c r="D72" t="s">
        <v>79</v>
      </c>
      <c r="E72" t="s">
        <v>79</v>
      </c>
      <c r="F72" t="s">
        <v>304</v>
      </c>
      <c r="H72" t="s">
        <v>82</v>
      </c>
      <c r="K72" t="s">
        <v>305</v>
      </c>
      <c r="L72" t="s">
        <v>252</v>
      </c>
      <c r="M72" t="s">
        <v>24</v>
      </c>
      <c r="N72" t="s">
        <v>31</v>
      </c>
      <c r="Q72" s="11" t="s">
        <v>304</v>
      </c>
      <c r="R72" s="12" t="s">
        <v>100</v>
      </c>
      <c r="S72" s="12" t="s">
        <v>100</v>
      </c>
      <c r="T72" s="12" t="b">
        <v>1</v>
      </c>
      <c r="U72" s="12">
        <v>0.95140000000000002</v>
      </c>
      <c r="V72" s="12">
        <v>439.45909999999998</v>
      </c>
      <c r="W72" s="5" t="s">
        <v>1052</v>
      </c>
      <c r="X72" s="12" t="b">
        <v>1</v>
      </c>
      <c r="Y72" s="12">
        <v>1</v>
      </c>
      <c r="Z72" s="13" t="b">
        <v>1</v>
      </c>
    </row>
    <row r="73" spans="1:26">
      <c r="A73" t="s">
        <v>306</v>
      </c>
      <c r="B73" t="s">
        <v>307</v>
      </c>
      <c r="C73" t="s">
        <v>308</v>
      </c>
      <c r="D73" t="s">
        <v>19</v>
      </c>
      <c r="E73" t="s">
        <v>20</v>
      </c>
      <c r="F73" t="s">
        <v>309</v>
      </c>
      <c r="H73" t="s">
        <v>310</v>
      </c>
      <c r="K73" t="s">
        <v>311</v>
      </c>
      <c r="L73" t="s">
        <v>252</v>
      </c>
      <c r="M73" t="s">
        <v>24</v>
      </c>
      <c r="N73" t="s">
        <v>25</v>
      </c>
      <c r="Q73" s="11" t="s">
        <v>309</v>
      </c>
      <c r="R73" s="12" t="s">
        <v>307</v>
      </c>
      <c r="S73" s="12" t="s">
        <v>307</v>
      </c>
      <c r="T73" s="12" t="b">
        <v>1</v>
      </c>
      <c r="U73" s="12">
        <v>0.89410000000000001</v>
      </c>
      <c r="V73" s="12">
        <v>304.23930000000001</v>
      </c>
      <c r="W73" s="5" t="s">
        <v>1073</v>
      </c>
      <c r="X73" s="12" t="b">
        <v>1</v>
      </c>
      <c r="Y73" s="12">
        <v>1</v>
      </c>
      <c r="Z73" s="13" t="b">
        <v>1</v>
      </c>
    </row>
    <row r="74" spans="1:26">
      <c r="A74" t="s">
        <v>184</v>
      </c>
      <c r="B74" t="s">
        <v>185</v>
      </c>
      <c r="C74" t="s">
        <v>186</v>
      </c>
      <c r="D74" t="s">
        <v>19</v>
      </c>
      <c r="E74" t="s">
        <v>20</v>
      </c>
      <c r="F74" t="s">
        <v>185</v>
      </c>
      <c r="L74" t="s">
        <v>312</v>
      </c>
      <c r="M74" t="s">
        <v>24</v>
      </c>
      <c r="N74" t="s">
        <v>25</v>
      </c>
      <c r="Q74" s="11" t="s">
        <v>185</v>
      </c>
      <c r="R74" s="12" t="s">
        <v>185</v>
      </c>
      <c r="S74" s="12" t="s">
        <v>185</v>
      </c>
      <c r="T74" s="12" t="b">
        <v>1</v>
      </c>
      <c r="U74" s="12">
        <v>0.97199999999999998</v>
      </c>
      <c r="V74" s="12">
        <v>501.52589999999998</v>
      </c>
      <c r="W74" s="5" t="s">
        <v>1074</v>
      </c>
      <c r="X74" s="12" t="b">
        <v>1</v>
      </c>
      <c r="Y74" s="12">
        <v>1</v>
      </c>
      <c r="Z74" s="13" t="b">
        <v>1</v>
      </c>
    </row>
    <row r="75" spans="1:26">
      <c r="A75" t="s">
        <v>313</v>
      </c>
      <c r="B75" t="s">
        <v>221</v>
      </c>
      <c r="C75" t="s">
        <v>314</v>
      </c>
      <c r="D75" t="s">
        <v>127</v>
      </c>
      <c r="E75" t="s">
        <v>127</v>
      </c>
      <c r="F75" t="s">
        <v>221</v>
      </c>
      <c r="L75" t="s">
        <v>312</v>
      </c>
      <c r="M75" t="s">
        <v>24</v>
      </c>
      <c r="N75" t="s">
        <v>25</v>
      </c>
      <c r="Q75" s="11" t="s">
        <v>221</v>
      </c>
      <c r="R75" s="12" t="s">
        <v>221</v>
      </c>
      <c r="S75" s="12" t="s">
        <v>221</v>
      </c>
      <c r="T75" s="12" t="b">
        <v>1</v>
      </c>
      <c r="U75" s="12">
        <v>1</v>
      </c>
      <c r="V75" s="12">
        <v>642.42079999999999</v>
      </c>
      <c r="W75" s="5" t="s">
        <v>221</v>
      </c>
      <c r="X75" s="12" t="b">
        <v>1</v>
      </c>
      <c r="Y75" s="12">
        <v>1</v>
      </c>
      <c r="Z75" s="13" t="b">
        <v>1</v>
      </c>
    </row>
    <row r="76" spans="1:26">
      <c r="A76" t="s">
        <v>315</v>
      </c>
      <c r="B76" t="s">
        <v>316</v>
      </c>
      <c r="C76" t="s">
        <v>317</v>
      </c>
      <c r="D76" t="s">
        <v>44</v>
      </c>
      <c r="E76" t="s">
        <v>20</v>
      </c>
      <c r="F76" t="s">
        <v>316</v>
      </c>
      <c r="L76" t="s">
        <v>312</v>
      </c>
      <c r="M76" t="s">
        <v>24</v>
      </c>
      <c r="N76" t="s">
        <v>25</v>
      </c>
      <c r="Q76" s="11" t="s">
        <v>316</v>
      </c>
      <c r="R76" s="12" t="s">
        <v>316</v>
      </c>
      <c r="S76" s="12" t="s">
        <v>316</v>
      </c>
      <c r="T76" s="12" t="b">
        <v>1</v>
      </c>
      <c r="U76" s="12">
        <v>1</v>
      </c>
      <c r="V76" s="12">
        <v>818.26829999999995</v>
      </c>
      <c r="W76" s="5" t="s">
        <v>1075</v>
      </c>
      <c r="X76" s="12" t="b">
        <v>1</v>
      </c>
      <c r="Y76" s="12">
        <v>1</v>
      </c>
      <c r="Z76" s="13" t="b">
        <v>1</v>
      </c>
    </row>
    <row r="77" spans="1:26">
      <c r="A77" t="s">
        <v>318</v>
      </c>
      <c r="B77" t="s">
        <v>316</v>
      </c>
      <c r="C77" t="s">
        <v>319</v>
      </c>
      <c r="D77" t="s">
        <v>127</v>
      </c>
      <c r="E77" t="s">
        <v>127</v>
      </c>
      <c r="F77" t="s">
        <v>316</v>
      </c>
      <c r="L77" t="s">
        <v>312</v>
      </c>
      <c r="M77" t="s">
        <v>24</v>
      </c>
      <c r="N77" t="s">
        <v>25</v>
      </c>
      <c r="Q77" s="11" t="s">
        <v>316</v>
      </c>
      <c r="R77" s="12" t="s">
        <v>316</v>
      </c>
      <c r="S77" s="12" t="s">
        <v>316</v>
      </c>
      <c r="T77" s="12" t="b">
        <v>1</v>
      </c>
      <c r="U77" s="12">
        <v>1</v>
      </c>
      <c r="V77" s="12">
        <v>818.26829999999995</v>
      </c>
      <c r="W77" s="5" t="s">
        <v>1075</v>
      </c>
      <c r="X77" s="12" t="b">
        <v>1</v>
      </c>
      <c r="Y77" s="12">
        <v>1</v>
      </c>
      <c r="Z77" s="13" t="b">
        <v>1</v>
      </c>
    </row>
    <row r="78" spans="1:26">
      <c r="A78" t="s">
        <v>320</v>
      </c>
      <c r="B78" t="s">
        <v>321</v>
      </c>
      <c r="C78" t="s">
        <v>322</v>
      </c>
      <c r="D78" t="s">
        <v>127</v>
      </c>
      <c r="E78" t="s">
        <v>127</v>
      </c>
      <c r="F78" t="s">
        <v>321</v>
      </c>
      <c r="L78" t="s">
        <v>312</v>
      </c>
      <c r="M78" t="s">
        <v>24</v>
      </c>
      <c r="N78" t="s">
        <v>25</v>
      </c>
      <c r="Q78" s="33" t="s">
        <v>321</v>
      </c>
      <c r="R78" s="34" t="s">
        <v>321</v>
      </c>
      <c r="S78" s="34"/>
      <c r="T78" s="34" t="b">
        <v>0</v>
      </c>
      <c r="U78" s="34">
        <v>1</v>
      </c>
      <c r="V78" s="34">
        <v>640.21450000000004</v>
      </c>
      <c r="W78" s="5" t="s">
        <v>1076</v>
      </c>
      <c r="X78" s="34" t="b">
        <v>1</v>
      </c>
      <c r="Y78" s="34">
        <v>2</v>
      </c>
      <c r="Z78" s="35" t="b">
        <v>1</v>
      </c>
    </row>
    <row r="79" spans="1:26">
      <c r="A79" t="s">
        <v>324</v>
      </c>
      <c r="B79" t="s">
        <v>148</v>
      </c>
      <c r="C79" t="s">
        <v>325</v>
      </c>
      <c r="D79" t="s">
        <v>79</v>
      </c>
      <c r="E79" t="s">
        <v>20</v>
      </c>
      <c r="F79" t="s">
        <v>148</v>
      </c>
      <c r="L79" t="s">
        <v>312</v>
      </c>
      <c r="M79" t="s">
        <v>24</v>
      </c>
      <c r="N79" t="s">
        <v>25</v>
      </c>
      <c r="Q79" s="11" t="s">
        <v>148</v>
      </c>
      <c r="R79" s="12" t="s">
        <v>148</v>
      </c>
      <c r="S79" s="12" t="s">
        <v>148</v>
      </c>
      <c r="T79" s="12" t="b">
        <v>1</v>
      </c>
      <c r="U79" s="12">
        <v>0.89439999999999997</v>
      </c>
      <c r="V79" s="12">
        <v>304.70159999999998</v>
      </c>
      <c r="W79" s="5" t="s">
        <v>1026</v>
      </c>
      <c r="X79" s="12" t="b">
        <v>1</v>
      </c>
      <c r="Y79" s="12">
        <v>1</v>
      </c>
      <c r="Z79" s="13" t="b">
        <v>1</v>
      </c>
    </row>
    <row r="80" spans="1:26">
      <c r="A80" t="s">
        <v>326</v>
      </c>
      <c r="B80" t="s">
        <v>100</v>
      </c>
      <c r="C80" t="s">
        <v>101</v>
      </c>
      <c r="D80" t="s">
        <v>44</v>
      </c>
      <c r="E80" t="s">
        <v>20</v>
      </c>
      <c r="F80" t="s">
        <v>100</v>
      </c>
      <c r="L80" t="s">
        <v>312</v>
      </c>
      <c r="M80" t="s">
        <v>24</v>
      </c>
      <c r="N80" t="s">
        <v>25</v>
      </c>
      <c r="Q80" s="11" t="s">
        <v>100</v>
      </c>
      <c r="R80" s="12" t="s">
        <v>100</v>
      </c>
      <c r="S80" s="12" t="s">
        <v>100</v>
      </c>
      <c r="T80" s="12" t="b">
        <v>1</v>
      </c>
      <c r="U80" s="12">
        <v>1</v>
      </c>
      <c r="V80" s="12">
        <v>771.27059999999994</v>
      </c>
      <c r="W80" s="5" t="s">
        <v>1077</v>
      </c>
      <c r="X80" s="12" t="b">
        <v>1</v>
      </c>
      <c r="Y80" s="12">
        <v>1</v>
      </c>
      <c r="Z80" s="13" t="b">
        <v>1</v>
      </c>
    </row>
    <row r="81" spans="1:26">
      <c r="A81" t="s">
        <v>199</v>
      </c>
      <c r="B81" t="s">
        <v>200</v>
      </c>
      <c r="C81" t="s">
        <v>201</v>
      </c>
      <c r="D81" t="s">
        <v>19</v>
      </c>
      <c r="E81" t="s">
        <v>20</v>
      </c>
      <c r="F81" t="s">
        <v>200</v>
      </c>
      <c r="L81" t="s">
        <v>312</v>
      </c>
      <c r="M81" t="s">
        <v>24</v>
      </c>
      <c r="N81" t="s">
        <v>25</v>
      </c>
      <c r="Q81" s="11" t="s">
        <v>200</v>
      </c>
      <c r="R81" s="12" t="s">
        <v>200</v>
      </c>
      <c r="S81" s="12" t="s">
        <v>200</v>
      </c>
      <c r="T81" s="12" t="b">
        <v>1</v>
      </c>
      <c r="U81" s="12">
        <v>0.94130000000000003</v>
      </c>
      <c r="V81" s="12">
        <v>411.87729999999999</v>
      </c>
      <c r="W81" s="5" t="s">
        <v>200</v>
      </c>
      <c r="X81" s="12" t="b">
        <v>1</v>
      </c>
      <c r="Y81" s="12">
        <v>1</v>
      </c>
      <c r="Z81" s="13" t="b">
        <v>1</v>
      </c>
    </row>
    <row r="82" spans="1:26">
      <c r="A82" t="s">
        <v>327</v>
      </c>
      <c r="B82" t="s">
        <v>328</v>
      </c>
      <c r="C82" t="s">
        <v>329</v>
      </c>
      <c r="D82" t="s">
        <v>127</v>
      </c>
      <c r="E82" t="s">
        <v>127</v>
      </c>
      <c r="F82" t="s">
        <v>328</v>
      </c>
      <c r="L82" t="s">
        <v>312</v>
      </c>
      <c r="M82" t="s">
        <v>24</v>
      </c>
      <c r="N82" t="s">
        <v>25</v>
      </c>
      <c r="Q82" s="11" t="s">
        <v>328</v>
      </c>
      <c r="R82" s="12" t="s">
        <v>328</v>
      </c>
      <c r="S82" s="12" t="s">
        <v>328</v>
      </c>
      <c r="T82" s="12" t="b">
        <v>1</v>
      </c>
      <c r="U82" s="12">
        <v>0.98450000000000004</v>
      </c>
      <c r="V82" s="12">
        <v>543.27319999999997</v>
      </c>
      <c r="W82" s="5" t="s">
        <v>328</v>
      </c>
      <c r="X82" s="12" t="b">
        <v>1</v>
      </c>
      <c r="Y82" s="12">
        <v>1</v>
      </c>
      <c r="Z82" s="13" t="b">
        <v>1</v>
      </c>
    </row>
    <row r="83" spans="1:26">
      <c r="A83" t="s">
        <v>330</v>
      </c>
      <c r="B83" t="s">
        <v>331</v>
      </c>
      <c r="C83" t="s">
        <v>332</v>
      </c>
      <c r="D83" t="s">
        <v>79</v>
      </c>
      <c r="E83" t="s">
        <v>20</v>
      </c>
      <c r="G83" t="s">
        <v>330</v>
      </c>
      <c r="L83" t="s">
        <v>334</v>
      </c>
      <c r="M83" t="s">
        <v>24</v>
      </c>
      <c r="N83" t="s">
        <v>31</v>
      </c>
      <c r="Q83" s="11" t="s">
        <v>330</v>
      </c>
      <c r="R83" s="12" t="s">
        <v>331</v>
      </c>
      <c r="S83" s="12" t="s">
        <v>331</v>
      </c>
      <c r="T83" s="12" t="b">
        <v>1</v>
      </c>
      <c r="U83" s="12">
        <v>1.0489999999999999</v>
      </c>
      <c r="V83" s="12">
        <v>227.65639999999999</v>
      </c>
      <c r="W83" s="5" t="s">
        <v>1078</v>
      </c>
      <c r="X83" s="12" t="b">
        <v>1</v>
      </c>
      <c r="Y83" s="12">
        <v>1</v>
      </c>
      <c r="Z83" s="13" t="b">
        <v>1</v>
      </c>
    </row>
    <row r="84" spans="1:26">
      <c r="A84" t="s">
        <v>335</v>
      </c>
      <c r="B84" t="s">
        <v>335</v>
      </c>
      <c r="C84" t="s">
        <v>336</v>
      </c>
      <c r="D84" t="s">
        <v>79</v>
      </c>
      <c r="E84" t="s">
        <v>20</v>
      </c>
      <c r="G84" t="s">
        <v>338</v>
      </c>
      <c r="L84" t="s">
        <v>334</v>
      </c>
      <c r="M84" t="s">
        <v>24</v>
      </c>
      <c r="N84" t="s">
        <v>31</v>
      </c>
      <c r="Q84" s="11" t="s">
        <v>338</v>
      </c>
      <c r="R84" s="12" t="s">
        <v>335</v>
      </c>
      <c r="S84" s="12" t="s">
        <v>335</v>
      </c>
      <c r="T84" s="12" t="b">
        <v>1</v>
      </c>
      <c r="U84" s="12">
        <v>1.0767</v>
      </c>
      <c r="V84" s="12">
        <v>272.10419999999999</v>
      </c>
      <c r="W84" s="5" t="s">
        <v>1079</v>
      </c>
      <c r="X84" s="12" t="b">
        <v>1</v>
      </c>
      <c r="Y84" s="12">
        <v>1</v>
      </c>
      <c r="Z84" s="13" t="b">
        <v>1</v>
      </c>
    </row>
    <row r="85" spans="1:26">
      <c r="A85" t="s">
        <v>339</v>
      </c>
      <c r="B85" t="s">
        <v>340</v>
      </c>
      <c r="C85" t="s">
        <v>341</v>
      </c>
      <c r="D85" t="s">
        <v>127</v>
      </c>
      <c r="E85" t="s">
        <v>127</v>
      </c>
      <c r="G85" t="s">
        <v>342</v>
      </c>
      <c r="L85" t="s">
        <v>334</v>
      </c>
      <c r="M85" t="s">
        <v>24</v>
      </c>
      <c r="N85" t="s">
        <v>31</v>
      </c>
      <c r="Q85" s="11" t="s">
        <v>342</v>
      </c>
      <c r="R85" s="12" t="s">
        <v>340</v>
      </c>
      <c r="S85" s="12" t="s">
        <v>340</v>
      </c>
      <c r="T85" s="12" t="b">
        <v>1</v>
      </c>
      <c r="U85" s="12">
        <v>1.1462000000000001</v>
      </c>
      <c r="V85" s="12">
        <v>424.90899999999999</v>
      </c>
      <c r="W85" s="5" t="s">
        <v>1080</v>
      </c>
      <c r="X85" s="12" t="b">
        <v>1</v>
      </c>
      <c r="Y85" s="12">
        <v>1</v>
      </c>
      <c r="Z85" s="13" t="b">
        <v>1</v>
      </c>
    </row>
    <row r="86" spans="1:26">
      <c r="A86" t="s">
        <v>343</v>
      </c>
      <c r="B86" t="s">
        <v>344</v>
      </c>
      <c r="C86" t="s">
        <v>345</v>
      </c>
      <c r="D86" t="s">
        <v>19</v>
      </c>
      <c r="E86" t="s">
        <v>20</v>
      </c>
      <c r="G86" t="s">
        <v>347</v>
      </c>
      <c r="L86" t="s">
        <v>334</v>
      </c>
      <c r="M86" t="s">
        <v>24</v>
      </c>
      <c r="N86" t="s">
        <v>25</v>
      </c>
      <c r="Q86" s="11" t="s">
        <v>347</v>
      </c>
      <c r="R86" s="12" t="s">
        <v>344</v>
      </c>
      <c r="S86" s="12" t="s">
        <v>344</v>
      </c>
      <c r="T86" s="12" t="b">
        <v>1</v>
      </c>
      <c r="U86" s="12">
        <v>0.99650000000000005</v>
      </c>
      <c r="V86" s="12">
        <v>162.39429999999999</v>
      </c>
      <c r="W86" s="5" t="s">
        <v>1081</v>
      </c>
      <c r="X86" s="12" t="b">
        <v>1</v>
      </c>
      <c r="Y86" s="12">
        <v>1</v>
      </c>
      <c r="Z86" s="13" t="b">
        <v>1</v>
      </c>
    </row>
    <row r="87" spans="1:26">
      <c r="A87" t="s">
        <v>348</v>
      </c>
      <c r="B87" t="s">
        <v>349</v>
      </c>
      <c r="C87" t="s">
        <v>350</v>
      </c>
      <c r="D87" t="s">
        <v>127</v>
      </c>
      <c r="E87" t="s">
        <v>127</v>
      </c>
      <c r="G87" t="s">
        <v>352</v>
      </c>
      <c r="L87" t="s">
        <v>334</v>
      </c>
      <c r="M87" t="s">
        <v>24</v>
      </c>
      <c r="N87" t="s">
        <v>25</v>
      </c>
      <c r="Q87" s="11" t="s">
        <v>352</v>
      </c>
      <c r="R87" s="12" t="s">
        <v>349</v>
      </c>
      <c r="S87" s="12" t="s">
        <v>349</v>
      </c>
      <c r="T87" s="12" t="b">
        <v>1</v>
      </c>
      <c r="U87" s="12">
        <v>1.0158</v>
      </c>
      <c r="V87" s="12">
        <v>183.87370000000001</v>
      </c>
      <c r="W87" s="5" t="s">
        <v>1082</v>
      </c>
      <c r="X87" s="12" t="b">
        <v>1</v>
      </c>
      <c r="Y87" s="12">
        <v>1</v>
      </c>
      <c r="Z87" s="13" t="b">
        <v>1</v>
      </c>
    </row>
    <row r="88" spans="1:26">
      <c r="A88" t="s">
        <v>353</v>
      </c>
      <c r="B88" t="s">
        <v>241</v>
      </c>
      <c r="C88" t="s">
        <v>242</v>
      </c>
      <c r="D88" t="s">
        <v>19</v>
      </c>
      <c r="E88" t="s">
        <v>20</v>
      </c>
      <c r="G88" t="s">
        <v>355</v>
      </c>
      <c r="L88" t="s">
        <v>334</v>
      </c>
      <c r="M88" t="s">
        <v>24</v>
      </c>
      <c r="N88" t="s">
        <v>31</v>
      </c>
      <c r="Q88" s="11" t="s">
        <v>355</v>
      </c>
      <c r="R88" s="12" t="s">
        <v>241</v>
      </c>
      <c r="S88" s="12" t="s">
        <v>241</v>
      </c>
      <c r="T88" s="12" t="b">
        <v>1</v>
      </c>
      <c r="U88" s="12">
        <v>0.98609999999999998</v>
      </c>
      <c r="V88" s="12">
        <v>151.96940000000001</v>
      </c>
      <c r="W88" s="5" t="s">
        <v>1083</v>
      </c>
      <c r="X88" s="12" t="b">
        <v>1</v>
      </c>
      <c r="Y88" s="12">
        <v>1</v>
      </c>
      <c r="Z88" s="13" t="b">
        <v>1</v>
      </c>
    </row>
    <row r="89" spans="1:26">
      <c r="A89" s="2" t="s">
        <v>356</v>
      </c>
      <c r="B89" s="2" t="s">
        <v>266</v>
      </c>
      <c r="C89" s="2" t="s">
        <v>357</v>
      </c>
      <c r="D89" s="2" t="s">
        <v>79</v>
      </c>
      <c r="E89" s="2" t="s">
        <v>20</v>
      </c>
      <c r="F89" s="2"/>
      <c r="G89" s="2" t="s">
        <v>358</v>
      </c>
      <c r="H89" s="2"/>
      <c r="I89" s="2"/>
      <c r="J89" s="2"/>
      <c r="K89" s="2"/>
      <c r="L89" s="2" t="s">
        <v>334</v>
      </c>
      <c r="M89" s="2" t="s">
        <v>24</v>
      </c>
      <c r="N89" s="2" t="s">
        <v>49</v>
      </c>
      <c r="Q89" s="11" t="s">
        <v>358</v>
      </c>
      <c r="R89" s="12" t="s">
        <v>266</v>
      </c>
      <c r="S89" s="12"/>
      <c r="T89" s="12" t="b">
        <v>0</v>
      </c>
      <c r="U89" s="12">
        <v>0.76080000000000003</v>
      </c>
      <c r="V89" s="12">
        <v>35.183500000000002</v>
      </c>
      <c r="W89" s="5" t="s">
        <v>1084</v>
      </c>
      <c r="X89" s="12" t="b">
        <v>1</v>
      </c>
      <c r="Y89" s="12">
        <v>20</v>
      </c>
      <c r="Z89" s="13" t="b">
        <v>1</v>
      </c>
    </row>
    <row r="90" spans="1:26">
      <c r="A90" t="s">
        <v>359</v>
      </c>
      <c r="B90" t="s">
        <v>360</v>
      </c>
      <c r="C90" t="s">
        <v>361</v>
      </c>
      <c r="D90" t="s">
        <v>127</v>
      </c>
      <c r="E90" t="s">
        <v>127</v>
      </c>
      <c r="G90" t="s">
        <v>363</v>
      </c>
      <c r="L90" t="s">
        <v>334</v>
      </c>
      <c r="M90" t="s">
        <v>24</v>
      </c>
      <c r="N90" t="s">
        <v>25</v>
      </c>
      <c r="Q90" s="11" t="s">
        <v>363</v>
      </c>
      <c r="R90" s="12" t="s">
        <v>360</v>
      </c>
      <c r="S90" s="12" t="s">
        <v>360</v>
      </c>
      <c r="T90" s="12" t="b">
        <v>1</v>
      </c>
      <c r="U90" s="12">
        <v>0.99880000000000002</v>
      </c>
      <c r="V90" s="12">
        <v>164.8374</v>
      </c>
      <c r="W90" s="5" t="s">
        <v>1085</v>
      </c>
      <c r="X90" s="12" t="b">
        <v>1</v>
      </c>
      <c r="Y90" s="12">
        <v>1</v>
      </c>
      <c r="Z90" s="13" t="b">
        <v>1</v>
      </c>
    </row>
    <row r="91" spans="1:26">
      <c r="A91" t="s">
        <v>364</v>
      </c>
      <c r="B91" t="s">
        <v>365</v>
      </c>
      <c r="C91" t="s">
        <v>366</v>
      </c>
      <c r="D91" t="s">
        <v>19</v>
      </c>
      <c r="E91" t="s">
        <v>20</v>
      </c>
      <c r="G91" t="s">
        <v>368</v>
      </c>
      <c r="L91" t="s">
        <v>334</v>
      </c>
      <c r="M91" t="s">
        <v>24</v>
      </c>
      <c r="N91" t="s">
        <v>25</v>
      </c>
      <c r="Q91" s="11" t="s">
        <v>368</v>
      </c>
      <c r="R91" s="12" t="s">
        <v>365</v>
      </c>
      <c r="S91" s="12" t="s">
        <v>365</v>
      </c>
      <c r="T91" s="12" t="b">
        <v>1</v>
      </c>
      <c r="U91" s="12">
        <v>0.96150000000000002</v>
      </c>
      <c r="V91" s="12">
        <v>129.61590000000001</v>
      </c>
      <c r="W91" s="5" t="s">
        <v>1086</v>
      </c>
      <c r="X91" s="12" t="b">
        <v>1</v>
      </c>
      <c r="Y91" s="12">
        <v>1</v>
      </c>
      <c r="Z91" s="13" t="b">
        <v>1</v>
      </c>
    </row>
    <row r="92" spans="1:26">
      <c r="A92" t="s">
        <v>37</v>
      </c>
      <c r="B92" t="s">
        <v>38</v>
      </c>
      <c r="C92" t="s">
        <v>369</v>
      </c>
      <c r="D92" t="s">
        <v>127</v>
      </c>
      <c r="E92" t="s">
        <v>127</v>
      </c>
      <c r="G92" t="s">
        <v>371</v>
      </c>
      <c r="L92" t="s">
        <v>372</v>
      </c>
      <c r="M92" t="s">
        <v>24</v>
      </c>
      <c r="N92" t="s">
        <v>31</v>
      </c>
      <c r="Q92" s="11" t="s">
        <v>371</v>
      </c>
      <c r="R92" s="12" t="s">
        <v>38</v>
      </c>
      <c r="S92" s="12" t="s">
        <v>38</v>
      </c>
      <c r="T92" s="12" t="b">
        <v>1</v>
      </c>
      <c r="U92" s="12">
        <v>1.0718000000000001</v>
      </c>
      <c r="V92" s="12">
        <v>263.57100000000003</v>
      </c>
      <c r="W92" s="5" t="s">
        <v>1087</v>
      </c>
      <c r="X92" s="12" t="b">
        <v>1</v>
      </c>
      <c r="Y92" s="12">
        <v>1</v>
      </c>
      <c r="Z92" s="13" t="b">
        <v>1</v>
      </c>
    </row>
    <row r="93" spans="1:26">
      <c r="A93" t="s">
        <v>373</v>
      </c>
      <c r="B93" t="s">
        <v>271</v>
      </c>
      <c r="C93" t="s">
        <v>374</v>
      </c>
      <c r="D93" t="s">
        <v>127</v>
      </c>
      <c r="E93" t="s">
        <v>127</v>
      </c>
      <c r="G93" t="s">
        <v>375</v>
      </c>
      <c r="L93" t="s">
        <v>372</v>
      </c>
      <c r="M93" t="s">
        <v>24</v>
      </c>
      <c r="N93" t="s">
        <v>25</v>
      </c>
      <c r="Q93" s="11" t="s">
        <v>375</v>
      </c>
      <c r="R93" s="12" t="s">
        <v>271</v>
      </c>
      <c r="S93" s="12" t="s">
        <v>271</v>
      </c>
      <c r="T93" s="12" t="b">
        <v>1</v>
      </c>
      <c r="U93" s="12">
        <v>1.0177</v>
      </c>
      <c r="V93" s="12">
        <v>186.19319999999999</v>
      </c>
      <c r="W93" s="5" t="s">
        <v>1088</v>
      </c>
      <c r="X93" s="12" t="b">
        <v>1</v>
      </c>
      <c r="Y93" s="12">
        <v>1</v>
      </c>
      <c r="Z93" s="13" t="b">
        <v>1</v>
      </c>
    </row>
    <row r="94" spans="1:26">
      <c r="A94" t="s">
        <v>376</v>
      </c>
      <c r="B94" t="s">
        <v>377</v>
      </c>
      <c r="C94" t="s">
        <v>378</v>
      </c>
      <c r="D94" t="s">
        <v>379</v>
      </c>
      <c r="E94" t="s">
        <v>379</v>
      </c>
      <c r="G94" t="s">
        <v>381</v>
      </c>
      <c r="L94" t="s">
        <v>372</v>
      </c>
      <c r="M94" t="s">
        <v>24</v>
      </c>
      <c r="N94" t="s">
        <v>49</v>
      </c>
      <c r="Q94" s="11" t="s">
        <v>381</v>
      </c>
      <c r="R94" s="12" t="s">
        <v>377</v>
      </c>
      <c r="S94" s="12" t="s">
        <v>968</v>
      </c>
      <c r="T94" s="12" t="b">
        <v>0</v>
      </c>
      <c r="U94" s="12">
        <v>0.872</v>
      </c>
      <c r="V94" s="12">
        <v>72.669300000000007</v>
      </c>
      <c r="W94" s="5" t="s">
        <v>1089</v>
      </c>
      <c r="X94" s="12" t="b">
        <v>1</v>
      </c>
      <c r="Y94" s="12">
        <v>15</v>
      </c>
      <c r="Z94" s="13" t="b">
        <v>1</v>
      </c>
    </row>
    <row r="95" spans="1:26">
      <c r="A95" t="s">
        <v>382</v>
      </c>
      <c r="B95" t="s">
        <v>383</v>
      </c>
      <c r="C95" t="s">
        <v>384</v>
      </c>
      <c r="D95" t="s">
        <v>127</v>
      </c>
      <c r="E95" t="s">
        <v>127</v>
      </c>
      <c r="G95" t="s">
        <v>386</v>
      </c>
      <c r="L95" t="s">
        <v>372</v>
      </c>
      <c r="M95" t="s">
        <v>24</v>
      </c>
      <c r="N95" t="s">
        <v>31</v>
      </c>
      <c r="Q95" s="11" t="s">
        <v>386</v>
      </c>
      <c r="R95" s="12" t="s">
        <v>383</v>
      </c>
      <c r="S95" s="12" t="s">
        <v>383</v>
      </c>
      <c r="T95" s="12" t="b">
        <v>1</v>
      </c>
      <c r="U95" s="12">
        <v>1.0918000000000001</v>
      </c>
      <c r="V95" s="12">
        <v>299.66039999999998</v>
      </c>
      <c r="W95" s="5" t="s">
        <v>1090</v>
      </c>
      <c r="X95" s="12" t="b">
        <v>1</v>
      </c>
      <c r="Y95" s="12">
        <v>1</v>
      </c>
      <c r="Z95" s="13" t="b">
        <v>1</v>
      </c>
    </row>
    <row r="96" spans="1:26">
      <c r="A96" t="s">
        <v>382</v>
      </c>
      <c r="B96" t="s">
        <v>383</v>
      </c>
      <c r="C96" t="s">
        <v>384</v>
      </c>
      <c r="D96" t="s">
        <v>127</v>
      </c>
      <c r="E96" t="s">
        <v>127</v>
      </c>
      <c r="G96" t="s">
        <v>387</v>
      </c>
      <c r="L96" t="s">
        <v>372</v>
      </c>
      <c r="M96" t="s">
        <v>24</v>
      </c>
      <c r="N96" t="s">
        <v>31</v>
      </c>
      <c r="Q96" s="11" t="s">
        <v>387</v>
      </c>
      <c r="R96" s="12" t="s">
        <v>383</v>
      </c>
      <c r="S96" s="12" t="s">
        <v>383</v>
      </c>
      <c r="T96" s="12" t="b">
        <v>1</v>
      </c>
      <c r="U96" s="12">
        <v>1.0918000000000001</v>
      </c>
      <c r="V96" s="12">
        <v>299.66039999999998</v>
      </c>
      <c r="W96" s="5" t="s">
        <v>1091</v>
      </c>
      <c r="X96" s="12" t="b">
        <v>1</v>
      </c>
      <c r="Y96" s="12">
        <v>1</v>
      </c>
      <c r="Z96" s="13" t="b">
        <v>1</v>
      </c>
    </row>
    <row r="97" spans="1:26">
      <c r="A97" t="s">
        <v>388</v>
      </c>
      <c r="B97" t="s">
        <v>389</v>
      </c>
      <c r="C97" t="s">
        <v>390</v>
      </c>
      <c r="D97" t="s">
        <v>127</v>
      </c>
      <c r="E97" t="s">
        <v>127</v>
      </c>
      <c r="G97" t="s">
        <v>392</v>
      </c>
      <c r="L97" t="s">
        <v>372</v>
      </c>
      <c r="M97" t="s">
        <v>24</v>
      </c>
      <c r="N97" t="s">
        <v>25</v>
      </c>
      <c r="Q97" s="11" t="s">
        <v>392</v>
      </c>
      <c r="R97" s="12" t="s">
        <v>389</v>
      </c>
      <c r="S97" s="12" t="s">
        <v>389</v>
      </c>
      <c r="T97" s="12" t="b">
        <v>1</v>
      </c>
      <c r="U97" s="12">
        <v>0.98470000000000002</v>
      </c>
      <c r="V97" s="12">
        <v>150.57419999999999</v>
      </c>
      <c r="W97" s="5" t="s">
        <v>1092</v>
      </c>
      <c r="X97" s="12" t="b">
        <v>1</v>
      </c>
      <c r="Y97" s="12">
        <v>1</v>
      </c>
      <c r="Z97" s="13" t="b">
        <v>1</v>
      </c>
    </row>
    <row r="98" spans="1:26">
      <c r="A98" t="s">
        <v>393</v>
      </c>
      <c r="B98" t="s">
        <v>344</v>
      </c>
      <c r="C98" t="s">
        <v>394</v>
      </c>
      <c r="D98" t="s">
        <v>127</v>
      </c>
      <c r="E98" t="s">
        <v>127</v>
      </c>
      <c r="G98" t="s">
        <v>395</v>
      </c>
      <c r="L98" t="s">
        <v>372</v>
      </c>
      <c r="M98" t="s">
        <v>24</v>
      </c>
      <c r="N98" t="s">
        <v>25</v>
      </c>
      <c r="Q98" s="11" t="s">
        <v>395</v>
      </c>
      <c r="R98" s="12" t="s">
        <v>344</v>
      </c>
      <c r="S98" s="12" t="s">
        <v>344</v>
      </c>
      <c r="T98" s="12" t="b">
        <v>1</v>
      </c>
      <c r="U98" s="12">
        <v>0.98809999999999998</v>
      </c>
      <c r="V98" s="12">
        <v>153.91739999999999</v>
      </c>
      <c r="W98" s="5" t="s">
        <v>1093</v>
      </c>
      <c r="X98" s="12" t="b">
        <v>1</v>
      </c>
      <c r="Y98" s="12">
        <v>1</v>
      </c>
      <c r="Z98" s="13" t="b">
        <v>1</v>
      </c>
    </row>
    <row r="99" spans="1:26">
      <c r="A99" t="s">
        <v>396</v>
      </c>
      <c r="B99" t="s">
        <v>397</v>
      </c>
      <c r="C99" t="s">
        <v>398</v>
      </c>
      <c r="D99" t="s">
        <v>127</v>
      </c>
      <c r="E99" t="s">
        <v>127</v>
      </c>
      <c r="G99" t="s">
        <v>400</v>
      </c>
      <c r="L99" t="s">
        <v>372</v>
      </c>
      <c r="M99" t="s">
        <v>24</v>
      </c>
      <c r="N99" t="s">
        <v>25</v>
      </c>
      <c r="Q99" s="11" t="s">
        <v>400</v>
      </c>
      <c r="R99" s="12" t="s">
        <v>397</v>
      </c>
      <c r="S99" s="12" t="s">
        <v>397</v>
      </c>
      <c r="T99" s="12" t="b">
        <v>1</v>
      </c>
      <c r="U99" s="12">
        <v>0.94630000000000003</v>
      </c>
      <c r="V99" s="12">
        <v>117.50960000000001</v>
      </c>
      <c r="W99" s="5" t="s">
        <v>1094</v>
      </c>
      <c r="X99" s="12" t="b">
        <v>1</v>
      </c>
      <c r="Y99" s="12">
        <v>1</v>
      </c>
      <c r="Z99" s="13" t="b">
        <v>1</v>
      </c>
    </row>
    <row r="100" spans="1:26">
      <c r="A100" t="s">
        <v>401</v>
      </c>
      <c r="B100" t="s">
        <v>397</v>
      </c>
      <c r="C100" t="s">
        <v>402</v>
      </c>
      <c r="D100" t="s">
        <v>379</v>
      </c>
      <c r="E100" t="s">
        <v>379</v>
      </c>
      <c r="G100" t="s">
        <v>403</v>
      </c>
      <c r="L100" t="s">
        <v>372</v>
      </c>
      <c r="M100" t="s">
        <v>24</v>
      </c>
      <c r="N100" t="s">
        <v>25</v>
      </c>
      <c r="Q100" s="11" t="s">
        <v>403</v>
      </c>
      <c r="R100" s="12" t="s">
        <v>397</v>
      </c>
      <c r="S100" s="12" t="s">
        <v>397</v>
      </c>
      <c r="T100" s="12" t="b">
        <v>1</v>
      </c>
      <c r="U100" s="12">
        <v>0.91590000000000005</v>
      </c>
      <c r="V100" s="12">
        <v>96.580299999999994</v>
      </c>
      <c r="W100" s="5" t="s">
        <v>1095</v>
      </c>
      <c r="X100" s="12" t="b">
        <v>1</v>
      </c>
      <c r="Y100" s="12">
        <v>1</v>
      </c>
      <c r="Z100" s="13" t="b">
        <v>1</v>
      </c>
    </row>
    <row r="101" spans="1:26">
      <c r="A101" t="s">
        <v>404</v>
      </c>
      <c r="B101" t="s">
        <v>405</v>
      </c>
      <c r="C101" t="s">
        <v>406</v>
      </c>
      <c r="D101" t="s">
        <v>127</v>
      </c>
      <c r="E101" t="s">
        <v>127</v>
      </c>
      <c r="G101" t="s">
        <v>404</v>
      </c>
      <c r="L101" t="s">
        <v>372</v>
      </c>
      <c r="M101" t="s">
        <v>24</v>
      </c>
      <c r="N101" t="s">
        <v>25</v>
      </c>
      <c r="Q101" s="11" t="s">
        <v>404</v>
      </c>
      <c r="R101" s="12" t="s">
        <v>405</v>
      </c>
      <c r="S101" s="12" t="s">
        <v>405</v>
      </c>
      <c r="T101" s="12" t="b">
        <v>1</v>
      </c>
      <c r="U101" s="12">
        <v>1.0636000000000001</v>
      </c>
      <c r="V101" s="12">
        <v>250.0891</v>
      </c>
      <c r="W101" s="5" t="s">
        <v>1096</v>
      </c>
      <c r="X101" s="12" t="b">
        <v>1</v>
      </c>
      <c r="Y101" s="12">
        <v>1</v>
      </c>
      <c r="Z101" s="13" t="b">
        <v>1</v>
      </c>
    </row>
    <row r="102" spans="1:26">
      <c r="A102" t="s">
        <v>408</v>
      </c>
      <c r="B102" t="s">
        <v>405</v>
      </c>
      <c r="C102" t="s">
        <v>409</v>
      </c>
      <c r="D102" t="s">
        <v>379</v>
      </c>
      <c r="E102" t="s">
        <v>379</v>
      </c>
      <c r="G102" t="s">
        <v>408</v>
      </c>
      <c r="L102" t="s">
        <v>372</v>
      </c>
      <c r="M102" t="s">
        <v>24</v>
      </c>
      <c r="N102" t="s">
        <v>25</v>
      </c>
      <c r="Q102" s="11" t="s">
        <v>408</v>
      </c>
      <c r="R102" s="12" t="s">
        <v>405</v>
      </c>
      <c r="S102" s="12" t="s">
        <v>405</v>
      </c>
      <c r="T102" s="12" t="b">
        <v>1</v>
      </c>
      <c r="U102" s="12">
        <v>1.0656000000000001</v>
      </c>
      <c r="V102" s="12">
        <v>253.25309999999999</v>
      </c>
      <c r="W102" s="5" t="s">
        <v>1097</v>
      </c>
      <c r="X102" s="12" t="b">
        <v>1</v>
      </c>
      <c r="Y102" s="12">
        <v>1</v>
      </c>
      <c r="Z102" s="13" t="b">
        <v>1</v>
      </c>
    </row>
    <row r="103" spans="1:26">
      <c r="A103" t="s">
        <v>410</v>
      </c>
      <c r="B103" t="s">
        <v>410</v>
      </c>
      <c r="C103" t="s">
        <v>411</v>
      </c>
      <c r="D103" t="s">
        <v>127</v>
      </c>
      <c r="E103" t="s">
        <v>127</v>
      </c>
      <c r="G103" t="s">
        <v>412</v>
      </c>
      <c r="L103" t="s">
        <v>372</v>
      </c>
      <c r="M103" t="s">
        <v>24</v>
      </c>
      <c r="N103" t="s">
        <v>31</v>
      </c>
      <c r="Q103" s="33" t="s">
        <v>412</v>
      </c>
      <c r="R103" s="34" t="s">
        <v>410</v>
      </c>
      <c r="S103" s="34" t="s">
        <v>410</v>
      </c>
      <c r="T103" s="34" t="b">
        <v>1</v>
      </c>
      <c r="U103" s="34">
        <v>1.0622</v>
      </c>
      <c r="V103" s="34">
        <v>247.81610000000001</v>
      </c>
      <c r="W103" s="5" t="s">
        <v>1098</v>
      </c>
      <c r="X103" s="34" t="b">
        <v>1</v>
      </c>
      <c r="Y103" s="34">
        <v>1</v>
      </c>
      <c r="Z103" s="35" t="b">
        <v>1</v>
      </c>
    </row>
    <row r="104" spans="1:26">
      <c r="A104" t="s">
        <v>413</v>
      </c>
      <c r="B104" t="s">
        <v>331</v>
      </c>
      <c r="C104" t="s">
        <v>414</v>
      </c>
      <c r="D104" t="s">
        <v>127</v>
      </c>
      <c r="E104" t="s">
        <v>127</v>
      </c>
      <c r="G104" t="s">
        <v>415</v>
      </c>
      <c r="L104" t="s">
        <v>372</v>
      </c>
      <c r="M104" t="s">
        <v>24</v>
      </c>
      <c r="N104" t="s">
        <v>31</v>
      </c>
      <c r="Q104" s="14" t="s">
        <v>415</v>
      </c>
      <c r="R104" s="15" t="s">
        <v>331</v>
      </c>
      <c r="S104" s="15" t="s">
        <v>331</v>
      </c>
      <c r="T104" s="15" t="b">
        <v>1</v>
      </c>
      <c r="U104" s="15">
        <v>0.99270000000000003</v>
      </c>
      <c r="V104" s="15">
        <v>158.50139999999999</v>
      </c>
      <c r="W104" s="7" t="s">
        <v>1099</v>
      </c>
      <c r="X104" s="15" t="b">
        <v>1</v>
      </c>
      <c r="Y104" s="15">
        <v>1</v>
      </c>
      <c r="Z104" s="16" t="b">
        <v>1</v>
      </c>
    </row>
  </sheetData>
  <autoFilter ref="A9:AE104" xr:uid="{40EA18E2-E055-470C-ACED-5FEBE3241B03}"/>
  <mergeCells count="2">
    <mergeCell ref="A8:E8"/>
    <mergeCell ref="F8:L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36F1-8AA9-4942-B60F-0A1A1BCC5797}">
  <dimension ref="A2:AG104"/>
  <sheetViews>
    <sheetView zoomScale="80" zoomScaleNormal="80" workbookViewId="0">
      <pane ySplit="7" topLeftCell="U91" activePane="bottomLeft" state="frozen"/>
      <selection pane="bottomLeft" activeCell="AE106" sqref="AE106"/>
    </sheetView>
  </sheetViews>
  <sheetFormatPr defaultRowHeight="15"/>
  <cols>
    <col min="1" max="1" width="28.7109375" customWidth="1"/>
    <col min="2" max="2" width="24.5703125" bestFit="1" customWidth="1"/>
    <col min="3" max="3" width="26.140625" customWidth="1"/>
    <col min="4" max="4" width="23.28515625" bestFit="1" customWidth="1"/>
    <col min="5" max="5" width="14.140625" customWidth="1"/>
    <col min="6" max="6" width="33.28515625" customWidth="1"/>
    <col min="7" max="7" width="22.28515625" customWidth="1"/>
    <col min="8" max="8" width="18.140625" bestFit="1" customWidth="1"/>
    <col min="9" max="9" width="6.28515625" customWidth="1"/>
    <col min="10" max="10" width="5.85546875" customWidth="1"/>
    <col min="11" max="11" width="6.85546875" customWidth="1"/>
    <col min="12" max="12" width="16.28515625" customWidth="1"/>
    <col min="13" max="13" width="12.5703125" customWidth="1"/>
    <col min="14" max="14" width="16.5703125" customWidth="1"/>
    <col min="15" max="15" width="14.28515625" customWidth="1"/>
    <col min="19" max="19" width="25.140625" customWidth="1"/>
    <col min="20" max="20" width="19" customWidth="1"/>
    <col min="21" max="21" width="14.7109375" customWidth="1"/>
    <col min="22" max="22" width="11" customWidth="1"/>
    <col min="24" max="24" width="13" customWidth="1"/>
    <col min="25" max="25" width="10.42578125" customWidth="1"/>
    <col min="26" max="26" width="10.5703125" customWidth="1"/>
    <col min="27" max="27" width="11" customWidth="1"/>
    <col min="28" max="28" width="11.85546875" customWidth="1"/>
    <col min="30" max="30" width="15.42578125" customWidth="1"/>
    <col min="31" max="31" width="11.42578125" customWidth="1"/>
  </cols>
  <sheetData>
    <row r="2" spans="1:33">
      <c r="AD2" s="25" t="s">
        <v>981</v>
      </c>
      <c r="AE2" s="25" t="s">
        <v>982</v>
      </c>
      <c r="AF2" s="25" t="s">
        <v>983</v>
      </c>
      <c r="AG2" s="25" t="s">
        <v>984</v>
      </c>
    </row>
    <row r="3" spans="1:33">
      <c r="AD3" s="26" t="s">
        <v>25</v>
      </c>
      <c r="AE3" s="28">
        <f>COUNTIF($N$8:$N$104,"Company Match")</f>
        <v>50</v>
      </c>
      <c r="AF3" s="28">
        <f>COUNTIFS($N$8:$N$104,"Company Match",$V$8:$V$104,TRUE)</f>
        <v>48</v>
      </c>
      <c r="AG3" s="29">
        <f>IF(AE3&gt;0,AF3/AE3,0)</f>
        <v>0.96</v>
      </c>
    </row>
    <row r="4" spans="1:33">
      <c r="AD4" s="26" t="s">
        <v>31</v>
      </c>
      <c r="AE4" s="28">
        <f>COUNTIF($N$8:$N$104,"Security Match")</f>
        <v>31</v>
      </c>
      <c r="AF4" s="28">
        <f>COUNTIFS($N$8:$N$104,"Security Match",$V$8:$V$104,TRUE)</f>
        <v>31</v>
      </c>
      <c r="AG4" s="29">
        <f>IF(AE4&gt;0,AF4/AE4,0)</f>
        <v>1</v>
      </c>
    </row>
    <row r="5" spans="1:33">
      <c r="AD5" s="26" t="s">
        <v>49</v>
      </c>
      <c r="AE5" s="28">
        <f>COUNTIF($N$8:$N$104,"Company Knowledge Match")</f>
        <v>15</v>
      </c>
      <c r="AF5" s="28">
        <f>COUNTIFS($N$8:$N$104,"Company Knowledge Match",$V$8:$V$104,TRUE)</f>
        <v>5</v>
      </c>
      <c r="AG5" s="29">
        <f>IF(AE5&gt;0,AF5/AE5,0)</f>
        <v>0.33333333333333331</v>
      </c>
    </row>
    <row r="6" spans="1:33">
      <c r="AD6" s="27" t="s">
        <v>985</v>
      </c>
      <c r="AE6" s="30">
        <f>SUM(AE3:AE5)</f>
        <v>96</v>
      </c>
      <c r="AF6" s="30">
        <f>SUM(AF3:AF5)</f>
        <v>84</v>
      </c>
      <c r="AG6" s="31">
        <f>IF(AE6&gt;0,AF6/AE6,0)</f>
        <v>0.875</v>
      </c>
    </row>
    <row r="7" spans="1:33" s="1" customFormat="1">
      <c r="A7" s="1" t="s">
        <v>1100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S7" s="19" t="s">
        <v>698</v>
      </c>
      <c r="T7" s="20" t="s">
        <v>878</v>
      </c>
      <c r="U7" s="20" t="s">
        <v>879</v>
      </c>
      <c r="V7" s="20" t="s">
        <v>880</v>
      </c>
      <c r="W7" s="20" t="s">
        <v>701</v>
      </c>
      <c r="X7" s="20" t="s">
        <v>702</v>
      </c>
      <c r="Y7" s="20" t="s">
        <v>881</v>
      </c>
      <c r="Z7" s="20" t="s">
        <v>882</v>
      </c>
      <c r="AA7" s="20" t="s">
        <v>883</v>
      </c>
      <c r="AB7" s="20" t="s">
        <v>705</v>
      </c>
    </row>
    <row r="8" spans="1:33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16</v>
      </c>
      <c r="G8" t="s">
        <v>21</v>
      </c>
      <c r="H8" t="s">
        <v>22</v>
      </c>
      <c r="L8" t="s">
        <v>23</v>
      </c>
      <c r="M8" t="s">
        <v>24</v>
      </c>
      <c r="N8" t="s">
        <v>25</v>
      </c>
      <c r="S8" s="11" t="s">
        <v>16</v>
      </c>
      <c r="T8" s="12" t="s">
        <v>17</v>
      </c>
      <c r="U8" s="12" t="s">
        <v>17</v>
      </c>
      <c r="V8" s="12" t="b">
        <v>1</v>
      </c>
      <c r="W8" s="12">
        <v>0.8659</v>
      </c>
      <c r="X8" s="12">
        <v>253.8485</v>
      </c>
      <c r="Y8" s="12" t="s">
        <v>986</v>
      </c>
      <c r="Z8" s="12" t="b">
        <v>1</v>
      </c>
      <c r="AA8" s="12">
        <v>1</v>
      </c>
      <c r="AB8" s="13" t="b">
        <v>1</v>
      </c>
    </row>
    <row r="9" spans="1:33">
      <c r="A9" t="s">
        <v>26</v>
      </c>
      <c r="B9" t="s">
        <v>27</v>
      </c>
      <c r="C9" t="s">
        <v>28</v>
      </c>
      <c r="D9" t="s">
        <v>19</v>
      </c>
      <c r="E9" t="s">
        <v>20</v>
      </c>
      <c r="F9" t="s">
        <v>29</v>
      </c>
      <c r="G9" t="s">
        <v>30</v>
      </c>
      <c r="L9" t="s">
        <v>23</v>
      </c>
      <c r="M9" t="s">
        <v>24</v>
      </c>
      <c r="N9" t="s">
        <v>31</v>
      </c>
      <c r="S9" s="11" t="s">
        <v>29</v>
      </c>
      <c r="T9" s="12" t="s">
        <v>27</v>
      </c>
      <c r="U9" s="12" t="s">
        <v>27</v>
      </c>
      <c r="V9" s="12" t="b">
        <v>1</v>
      </c>
      <c r="W9" s="12">
        <v>0.97519999999999996</v>
      </c>
      <c r="X9" s="12">
        <v>511.78359999999998</v>
      </c>
      <c r="Y9" s="12" t="s">
        <v>987</v>
      </c>
      <c r="Z9" s="12" t="b">
        <v>1</v>
      </c>
      <c r="AA9" s="12">
        <v>1</v>
      </c>
      <c r="AB9" s="13" t="b">
        <v>1</v>
      </c>
    </row>
    <row r="10" spans="1:33">
      <c r="A10" t="s">
        <v>32</v>
      </c>
      <c r="B10" t="s">
        <v>33</v>
      </c>
      <c r="C10" t="s">
        <v>34</v>
      </c>
      <c r="D10" t="s">
        <v>19</v>
      </c>
      <c r="E10" t="s">
        <v>20</v>
      </c>
      <c r="F10" t="s">
        <v>32</v>
      </c>
      <c r="G10" t="s">
        <v>35</v>
      </c>
      <c r="H10" t="s">
        <v>22</v>
      </c>
      <c r="I10" t="s">
        <v>36</v>
      </c>
      <c r="L10" t="s">
        <v>23</v>
      </c>
      <c r="M10" t="s">
        <v>24</v>
      </c>
      <c r="N10" t="s">
        <v>31</v>
      </c>
      <c r="S10" s="11" t="s">
        <v>32</v>
      </c>
      <c r="T10" s="12" t="s">
        <v>33</v>
      </c>
      <c r="U10" s="12" t="s">
        <v>33</v>
      </c>
      <c r="V10" s="12" t="b">
        <v>1</v>
      </c>
      <c r="W10" s="12">
        <v>0.8841</v>
      </c>
      <c r="X10" s="12">
        <v>285.2362</v>
      </c>
      <c r="Y10" s="12" t="s">
        <v>988</v>
      </c>
      <c r="Z10" s="12" t="b">
        <v>1</v>
      </c>
      <c r="AA10" s="12">
        <v>1</v>
      </c>
      <c r="AB10" s="13" t="b">
        <v>1</v>
      </c>
    </row>
    <row r="11" spans="1:33">
      <c r="A11" t="s">
        <v>37</v>
      </c>
      <c r="B11" t="s">
        <v>38</v>
      </c>
      <c r="C11" t="s">
        <v>39</v>
      </c>
      <c r="D11" t="s">
        <v>19</v>
      </c>
      <c r="E11" t="s">
        <v>20</v>
      </c>
      <c r="F11" t="s">
        <v>37</v>
      </c>
      <c r="G11" t="s">
        <v>40</v>
      </c>
      <c r="H11" t="s">
        <v>22</v>
      </c>
      <c r="L11" t="s">
        <v>23</v>
      </c>
      <c r="M11" t="s">
        <v>24</v>
      </c>
      <c r="N11" t="s">
        <v>31</v>
      </c>
      <c r="S11" s="11" t="s">
        <v>37</v>
      </c>
      <c r="T11" s="12" t="s">
        <v>38</v>
      </c>
      <c r="U11" s="12" t="s">
        <v>38</v>
      </c>
      <c r="V11" s="12" t="b">
        <v>1</v>
      </c>
      <c r="W11" s="12">
        <v>1</v>
      </c>
      <c r="X11" s="12">
        <v>621.35299999999995</v>
      </c>
      <c r="Y11" s="12" t="s">
        <v>989</v>
      </c>
      <c r="Z11" s="12" t="b">
        <v>1</v>
      </c>
      <c r="AA11" s="12">
        <v>1</v>
      </c>
      <c r="AB11" s="13" t="b">
        <v>1</v>
      </c>
    </row>
    <row r="12" spans="1:33">
      <c r="A12" t="s">
        <v>41</v>
      </c>
      <c r="B12" t="s">
        <v>42</v>
      </c>
      <c r="C12" t="s">
        <v>43</v>
      </c>
      <c r="D12" t="s">
        <v>44</v>
      </c>
      <c r="E12" t="s">
        <v>20</v>
      </c>
      <c r="F12" t="s">
        <v>45</v>
      </c>
      <c r="G12" t="s">
        <v>46</v>
      </c>
      <c r="H12" t="s">
        <v>47</v>
      </c>
      <c r="I12" t="s">
        <v>48</v>
      </c>
      <c r="L12" t="s">
        <v>23</v>
      </c>
      <c r="M12" t="s">
        <v>24</v>
      </c>
      <c r="N12" t="s">
        <v>49</v>
      </c>
      <c r="S12" s="11" t="s">
        <v>45</v>
      </c>
      <c r="T12" s="12" t="s">
        <v>42</v>
      </c>
      <c r="U12" s="12" t="s">
        <v>42</v>
      </c>
      <c r="V12" s="12" t="b">
        <v>1</v>
      </c>
      <c r="W12" s="12">
        <v>0.87119999999999997</v>
      </c>
      <c r="X12" s="12">
        <v>262.65129999999999</v>
      </c>
      <c r="Y12" s="12" t="s">
        <v>42</v>
      </c>
      <c r="Z12" s="12" t="b">
        <v>1</v>
      </c>
      <c r="AA12" s="12">
        <v>1</v>
      </c>
      <c r="AB12" s="13" t="b">
        <v>1</v>
      </c>
    </row>
    <row r="13" spans="1:33">
      <c r="A13" t="s">
        <v>41</v>
      </c>
      <c r="B13" t="s">
        <v>42</v>
      </c>
      <c r="C13" t="s">
        <v>50</v>
      </c>
      <c r="D13" t="s">
        <v>19</v>
      </c>
      <c r="E13" t="s">
        <v>20</v>
      </c>
      <c r="F13" t="s">
        <v>45</v>
      </c>
      <c r="G13" t="s">
        <v>51</v>
      </c>
      <c r="H13" t="s">
        <v>22</v>
      </c>
      <c r="I13" t="s">
        <v>52</v>
      </c>
      <c r="L13" t="s">
        <v>23</v>
      </c>
      <c r="M13" t="s">
        <v>24</v>
      </c>
      <c r="N13" t="s">
        <v>49</v>
      </c>
      <c r="S13" s="11" t="s">
        <v>45</v>
      </c>
      <c r="T13" s="12" t="s">
        <v>42</v>
      </c>
      <c r="U13" s="12" t="s">
        <v>42</v>
      </c>
      <c r="V13" s="12" t="b">
        <v>1</v>
      </c>
      <c r="W13" s="12">
        <v>0.87119999999999997</v>
      </c>
      <c r="X13" s="12">
        <v>262.65129999999999</v>
      </c>
      <c r="Y13" s="12" t="s">
        <v>42</v>
      </c>
      <c r="Z13" s="12" t="b">
        <v>1</v>
      </c>
      <c r="AA13" s="12">
        <v>1</v>
      </c>
      <c r="AB13" s="13" t="b">
        <v>1</v>
      </c>
    </row>
    <row r="14" spans="1:33">
      <c r="A14" t="s">
        <v>53</v>
      </c>
      <c r="B14" t="s">
        <v>54</v>
      </c>
      <c r="C14" t="s">
        <v>55</v>
      </c>
      <c r="D14" t="s">
        <v>19</v>
      </c>
      <c r="E14" t="s">
        <v>20</v>
      </c>
      <c r="F14" t="s">
        <v>53</v>
      </c>
      <c r="G14" t="s">
        <v>56</v>
      </c>
      <c r="H14" t="s">
        <v>22</v>
      </c>
      <c r="I14" t="s">
        <v>57</v>
      </c>
      <c r="L14" t="s">
        <v>23</v>
      </c>
      <c r="M14" t="s">
        <v>24</v>
      </c>
      <c r="N14" t="s">
        <v>25</v>
      </c>
      <c r="S14" s="11" t="s">
        <v>53</v>
      </c>
      <c r="T14" s="12" t="s">
        <v>54</v>
      </c>
      <c r="U14" s="12" t="s">
        <v>54</v>
      </c>
      <c r="V14" s="12" t="b">
        <v>1</v>
      </c>
      <c r="W14" s="12">
        <v>0.95279999999999998</v>
      </c>
      <c r="X14" s="12">
        <v>443.35820000000001</v>
      </c>
      <c r="Y14" s="12" t="s">
        <v>990</v>
      </c>
      <c r="Z14" s="12" t="b">
        <v>1</v>
      </c>
      <c r="AA14" s="12">
        <v>1</v>
      </c>
      <c r="AB14" s="13" t="b">
        <v>1</v>
      </c>
    </row>
    <row r="15" spans="1:33">
      <c r="A15" t="s">
        <v>58</v>
      </c>
      <c r="B15" t="s">
        <v>59</v>
      </c>
      <c r="C15" t="s">
        <v>60</v>
      </c>
      <c r="D15" t="s">
        <v>44</v>
      </c>
      <c r="E15" t="s">
        <v>20</v>
      </c>
      <c r="F15" t="s">
        <v>61</v>
      </c>
      <c r="G15" t="s">
        <v>62</v>
      </c>
      <c r="H15" t="s">
        <v>47</v>
      </c>
      <c r="L15" t="s">
        <v>23</v>
      </c>
      <c r="M15" t="s">
        <v>24</v>
      </c>
      <c r="N15" t="s">
        <v>25</v>
      </c>
      <c r="S15" s="11" t="s">
        <v>61</v>
      </c>
      <c r="T15" s="12" t="s">
        <v>59</v>
      </c>
      <c r="U15" s="12" t="s">
        <v>59</v>
      </c>
      <c r="V15" s="12" t="b">
        <v>1</v>
      </c>
      <c r="W15" s="12">
        <v>0.84960000000000002</v>
      </c>
      <c r="X15" s="12">
        <v>228.5147</v>
      </c>
      <c r="Y15" s="12" t="s">
        <v>59</v>
      </c>
      <c r="Z15" s="12" t="b">
        <v>1</v>
      </c>
      <c r="AA15" s="12">
        <v>1</v>
      </c>
      <c r="AB15" s="13" t="b">
        <v>1</v>
      </c>
    </row>
    <row r="16" spans="1:33">
      <c r="A16" t="s">
        <v>63</v>
      </c>
      <c r="B16" t="s">
        <v>64</v>
      </c>
      <c r="C16" t="s">
        <v>65</v>
      </c>
      <c r="D16" t="s">
        <v>19</v>
      </c>
      <c r="E16" t="s">
        <v>20</v>
      </c>
      <c r="F16" t="s">
        <v>66</v>
      </c>
      <c r="G16" t="s">
        <v>67</v>
      </c>
      <c r="H16" t="s">
        <v>22</v>
      </c>
      <c r="L16" t="s">
        <v>23</v>
      </c>
      <c r="M16" t="s">
        <v>24</v>
      </c>
      <c r="N16" t="s">
        <v>31</v>
      </c>
      <c r="S16" s="11" t="s">
        <v>66</v>
      </c>
      <c r="T16" s="12" t="s">
        <v>64</v>
      </c>
      <c r="U16" s="12" t="s">
        <v>64</v>
      </c>
      <c r="V16" s="12" t="b">
        <v>1</v>
      </c>
      <c r="W16" s="12">
        <v>0.98309999999999997</v>
      </c>
      <c r="X16" s="12">
        <v>538.23149999999998</v>
      </c>
      <c r="Y16" s="12" t="s">
        <v>64</v>
      </c>
      <c r="Z16" s="12" t="b">
        <v>1</v>
      </c>
      <c r="AA16" s="12">
        <v>1</v>
      </c>
      <c r="AB16" s="13" t="b">
        <v>1</v>
      </c>
    </row>
    <row r="17" spans="1:28">
      <c r="A17" t="s">
        <v>68</v>
      </c>
      <c r="B17" t="s">
        <v>69</v>
      </c>
      <c r="C17" t="s">
        <v>70</v>
      </c>
      <c r="D17" t="s">
        <v>19</v>
      </c>
      <c r="E17" t="s">
        <v>20</v>
      </c>
      <c r="F17" t="s">
        <v>71</v>
      </c>
      <c r="G17" t="s">
        <v>72</v>
      </c>
      <c r="H17" t="s">
        <v>22</v>
      </c>
      <c r="I17" t="s">
        <v>73</v>
      </c>
      <c r="L17" t="s">
        <v>23</v>
      </c>
      <c r="M17" t="s">
        <v>24</v>
      </c>
      <c r="N17" t="s">
        <v>25</v>
      </c>
      <c r="S17" s="11" t="s">
        <v>71</v>
      </c>
      <c r="T17" s="12" t="s">
        <v>69</v>
      </c>
      <c r="U17" s="12" t="s">
        <v>69</v>
      </c>
      <c r="V17" s="12" t="b">
        <v>1</v>
      </c>
      <c r="W17" s="12">
        <v>0.91339999999999999</v>
      </c>
      <c r="X17" s="12">
        <v>344.2799</v>
      </c>
      <c r="Y17" s="12" t="s">
        <v>991</v>
      </c>
      <c r="Z17" s="12" t="b">
        <v>1</v>
      </c>
      <c r="AA17" s="12">
        <v>1</v>
      </c>
      <c r="AB17" s="13" t="b">
        <v>1</v>
      </c>
    </row>
    <row r="18" spans="1:28">
      <c r="A18" t="s">
        <v>68</v>
      </c>
      <c r="B18" t="s">
        <v>69</v>
      </c>
      <c r="C18" t="s">
        <v>70</v>
      </c>
      <c r="D18" t="s">
        <v>19</v>
      </c>
      <c r="E18" t="s">
        <v>20</v>
      </c>
      <c r="F18" t="s">
        <v>74</v>
      </c>
      <c r="G18" t="s">
        <v>75</v>
      </c>
      <c r="H18" t="s">
        <v>22</v>
      </c>
      <c r="I18" t="s">
        <v>73</v>
      </c>
      <c r="L18" t="s">
        <v>23</v>
      </c>
      <c r="M18" t="s">
        <v>24</v>
      </c>
      <c r="N18" t="s">
        <v>31</v>
      </c>
      <c r="S18" s="11" t="s">
        <v>74</v>
      </c>
      <c r="T18" s="12" t="s">
        <v>69</v>
      </c>
      <c r="U18" s="12" t="s">
        <v>69</v>
      </c>
      <c r="V18" s="12" t="b">
        <v>1</v>
      </c>
      <c r="W18" s="12">
        <v>0.84989999999999999</v>
      </c>
      <c r="X18" s="12">
        <v>229.05699999999999</v>
      </c>
      <c r="Y18" s="12" t="s">
        <v>992</v>
      </c>
      <c r="Z18" s="12" t="b">
        <v>1</v>
      </c>
      <c r="AA18" s="12">
        <v>1</v>
      </c>
      <c r="AB18" s="13" t="b">
        <v>1</v>
      </c>
    </row>
    <row r="19" spans="1:28">
      <c r="A19" t="s">
        <v>76</v>
      </c>
      <c r="B19" t="s">
        <v>77</v>
      </c>
      <c r="C19" t="s">
        <v>78</v>
      </c>
      <c r="D19" t="s">
        <v>79</v>
      </c>
      <c r="E19" t="s">
        <v>20</v>
      </c>
      <c r="F19" t="s">
        <v>80</v>
      </c>
      <c r="G19" t="s">
        <v>81</v>
      </c>
      <c r="H19" t="s">
        <v>82</v>
      </c>
      <c r="L19" t="s">
        <v>23</v>
      </c>
      <c r="M19" t="s">
        <v>24</v>
      </c>
      <c r="N19" t="s">
        <v>31</v>
      </c>
      <c r="S19" s="11" t="s">
        <v>80</v>
      </c>
      <c r="T19" s="12" t="s">
        <v>77</v>
      </c>
      <c r="U19" s="12" t="s">
        <v>77</v>
      </c>
      <c r="V19" s="12" t="b">
        <v>1</v>
      </c>
      <c r="W19" s="12">
        <v>1</v>
      </c>
      <c r="X19" s="12">
        <v>722.24159999999995</v>
      </c>
      <c r="Y19" s="12" t="s">
        <v>77</v>
      </c>
      <c r="Z19" s="12" t="b">
        <v>1</v>
      </c>
      <c r="AA19" s="12">
        <v>1</v>
      </c>
      <c r="AB19" s="13" t="b">
        <v>1</v>
      </c>
    </row>
    <row r="20" spans="1:28">
      <c r="A20" t="s">
        <v>83</v>
      </c>
      <c r="B20" t="s">
        <v>84</v>
      </c>
      <c r="C20" t="s">
        <v>85</v>
      </c>
      <c r="D20" t="s">
        <v>79</v>
      </c>
      <c r="E20" t="s">
        <v>20</v>
      </c>
      <c r="F20" t="s">
        <v>86</v>
      </c>
      <c r="G20" t="s">
        <v>87</v>
      </c>
      <c r="H20" t="s">
        <v>82</v>
      </c>
      <c r="L20" t="s">
        <v>23</v>
      </c>
      <c r="M20" t="s">
        <v>24</v>
      </c>
      <c r="N20" t="s">
        <v>25</v>
      </c>
      <c r="S20" s="11" t="s">
        <v>86</v>
      </c>
      <c r="T20" s="12" t="s">
        <v>84</v>
      </c>
      <c r="U20" s="12" t="s">
        <v>84</v>
      </c>
      <c r="V20" s="12" t="b">
        <v>1</v>
      </c>
      <c r="W20" s="12">
        <v>0.89270000000000005</v>
      </c>
      <c r="X20" s="12">
        <v>301.5455</v>
      </c>
      <c r="Y20" s="12" t="s">
        <v>993</v>
      </c>
      <c r="Z20" s="12" t="b">
        <v>1</v>
      </c>
      <c r="AA20" s="12">
        <v>1</v>
      </c>
      <c r="AB20" s="13" t="b">
        <v>1</v>
      </c>
    </row>
    <row r="21" spans="1:28">
      <c r="A21" t="s">
        <v>88</v>
      </c>
      <c r="B21" t="s">
        <v>89</v>
      </c>
      <c r="C21" t="s">
        <v>90</v>
      </c>
      <c r="D21" t="s">
        <v>19</v>
      </c>
      <c r="E21" t="s">
        <v>20</v>
      </c>
      <c r="F21" t="s">
        <v>91</v>
      </c>
      <c r="G21" t="s">
        <v>92</v>
      </c>
      <c r="H21" t="s">
        <v>22</v>
      </c>
      <c r="I21" t="s">
        <v>93</v>
      </c>
      <c r="L21" t="s">
        <v>23</v>
      </c>
      <c r="M21" t="s">
        <v>24</v>
      </c>
      <c r="N21" t="s">
        <v>31</v>
      </c>
      <c r="S21" s="11" t="s">
        <v>91</v>
      </c>
      <c r="T21" s="12" t="s">
        <v>89</v>
      </c>
      <c r="U21" s="12" t="s">
        <v>89</v>
      </c>
      <c r="V21" s="12" t="b">
        <v>1</v>
      </c>
      <c r="W21" s="12">
        <v>1</v>
      </c>
      <c r="X21" s="12">
        <v>849.78380000000004</v>
      </c>
      <c r="Y21" s="12" t="s">
        <v>994</v>
      </c>
      <c r="Z21" s="12" t="b">
        <v>1</v>
      </c>
      <c r="AA21" s="12">
        <v>1</v>
      </c>
      <c r="AB21" s="13" t="b">
        <v>1</v>
      </c>
    </row>
    <row r="22" spans="1:28">
      <c r="A22" t="s">
        <v>94</v>
      </c>
      <c r="B22" t="s">
        <v>95</v>
      </c>
      <c r="C22" t="s">
        <v>96</v>
      </c>
      <c r="D22" t="s">
        <v>44</v>
      </c>
      <c r="E22" t="s">
        <v>20</v>
      </c>
      <c r="F22" t="s">
        <v>94</v>
      </c>
      <c r="G22" t="s">
        <v>97</v>
      </c>
      <c r="H22" t="s">
        <v>47</v>
      </c>
      <c r="I22" t="s">
        <v>98</v>
      </c>
      <c r="L22" t="s">
        <v>23</v>
      </c>
      <c r="M22" t="s">
        <v>24</v>
      </c>
      <c r="N22" t="s">
        <v>25</v>
      </c>
      <c r="S22" s="11" t="s">
        <v>94</v>
      </c>
      <c r="T22" s="12" t="s">
        <v>95</v>
      </c>
      <c r="U22" s="12" t="s">
        <v>95</v>
      </c>
      <c r="V22" s="12" t="b">
        <v>1</v>
      </c>
      <c r="W22" s="12">
        <v>0.92549999999999999</v>
      </c>
      <c r="X22" s="12">
        <v>372.11250000000001</v>
      </c>
      <c r="Y22" s="12" t="s">
        <v>995</v>
      </c>
      <c r="Z22" s="12" t="b">
        <v>1</v>
      </c>
      <c r="AA22" s="12">
        <v>1</v>
      </c>
      <c r="AB22" s="13" t="b">
        <v>1</v>
      </c>
    </row>
    <row r="23" spans="1:28">
      <c r="A23" t="s">
        <v>99</v>
      </c>
      <c r="B23" t="s">
        <v>100</v>
      </c>
      <c r="C23" t="s">
        <v>101</v>
      </c>
      <c r="D23" t="s">
        <v>44</v>
      </c>
      <c r="E23" t="s">
        <v>20</v>
      </c>
      <c r="F23" t="s">
        <v>102</v>
      </c>
      <c r="G23" t="s">
        <v>103</v>
      </c>
      <c r="H23" t="s">
        <v>47</v>
      </c>
      <c r="I23" t="s">
        <v>104</v>
      </c>
      <c r="L23" t="s">
        <v>23</v>
      </c>
      <c r="M23" t="s">
        <v>24</v>
      </c>
      <c r="N23" t="s">
        <v>31</v>
      </c>
      <c r="S23" s="11" t="s">
        <v>102</v>
      </c>
      <c r="T23" s="12" t="s">
        <v>100</v>
      </c>
      <c r="U23" s="12" t="s">
        <v>100</v>
      </c>
      <c r="V23" s="12" t="b">
        <v>1</v>
      </c>
      <c r="W23" s="12">
        <v>1</v>
      </c>
      <c r="X23" s="12">
        <v>606.16250000000002</v>
      </c>
      <c r="Y23" s="12" t="s">
        <v>996</v>
      </c>
      <c r="Z23" s="12" t="b">
        <v>1</v>
      </c>
      <c r="AA23" s="12">
        <v>1</v>
      </c>
      <c r="AB23" s="13" t="b">
        <v>1</v>
      </c>
    </row>
    <row r="24" spans="1:28">
      <c r="A24" t="s">
        <v>105</v>
      </c>
      <c r="B24" t="s">
        <v>106</v>
      </c>
      <c r="C24" t="s">
        <v>107</v>
      </c>
      <c r="D24" t="s">
        <v>19</v>
      </c>
      <c r="E24" t="s">
        <v>20</v>
      </c>
      <c r="F24" t="s">
        <v>108</v>
      </c>
      <c r="G24" t="s">
        <v>109</v>
      </c>
      <c r="H24" t="s">
        <v>22</v>
      </c>
      <c r="I24" t="s">
        <v>110</v>
      </c>
      <c r="L24" t="s">
        <v>23</v>
      </c>
      <c r="M24" t="s">
        <v>24</v>
      </c>
      <c r="N24" t="s">
        <v>25</v>
      </c>
      <c r="S24" s="11" t="s">
        <v>108</v>
      </c>
      <c r="T24" s="12" t="s">
        <v>106</v>
      </c>
      <c r="U24" s="12" t="s">
        <v>106</v>
      </c>
      <c r="V24" s="12" t="b">
        <v>1</v>
      </c>
      <c r="W24" s="12">
        <v>0.92320000000000002</v>
      </c>
      <c r="X24" s="12">
        <v>366.77789999999999</v>
      </c>
      <c r="Y24" s="12" t="s">
        <v>997</v>
      </c>
      <c r="Z24" s="12" t="b">
        <v>1</v>
      </c>
      <c r="AA24" s="12">
        <v>1</v>
      </c>
      <c r="AB24" s="13" t="b">
        <v>1</v>
      </c>
    </row>
    <row r="25" spans="1:28">
      <c r="A25" t="s">
        <v>111</v>
      </c>
      <c r="B25" t="s">
        <v>112</v>
      </c>
      <c r="C25" t="s">
        <v>113</v>
      </c>
      <c r="D25" t="s">
        <v>19</v>
      </c>
      <c r="E25" t="s">
        <v>20</v>
      </c>
      <c r="F25" t="s">
        <v>111</v>
      </c>
      <c r="G25" t="s">
        <v>114</v>
      </c>
      <c r="H25" t="s">
        <v>22</v>
      </c>
      <c r="L25" t="s">
        <v>23</v>
      </c>
      <c r="M25" t="s">
        <v>24</v>
      </c>
      <c r="N25" t="s">
        <v>25</v>
      </c>
      <c r="S25" s="11" t="s">
        <v>111</v>
      </c>
      <c r="T25" s="12" t="s">
        <v>112</v>
      </c>
      <c r="U25" s="12" t="s">
        <v>112</v>
      </c>
      <c r="V25" s="12" t="b">
        <v>1</v>
      </c>
      <c r="W25" s="12">
        <v>0.95889999999999997</v>
      </c>
      <c r="X25" s="12">
        <v>460.87709999999998</v>
      </c>
      <c r="Y25" s="12" t="s">
        <v>998</v>
      </c>
      <c r="Z25" s="12" t="b">
        <v>1</v>
      </c>
      <c r="AA25" s="12">
        <v>1</v>
      </c>
      <c r="AB25" s="13" t="b">
        <v>1</v>
      </c>
    </row>
    <row r="26" spans="1:28">
      <c r="A26" t="s">
        <v>115</v>
      </c>
      <c r="B26" t="s">
        <v>116</v>
      </c>
      <c r="C26" t="s">
        <v>117</v>
      </c>
      <c r="D26" t="s">
        <v>19</v>
      </c>
      <c r="E26" t="s">
        <v>20</v>
      </c>
      <c r="F26" t="s">
        <v>118</v>
      </c>
      <c r="G26" t="s">
        <v>119</v>
      </c>
      <c r="H26" t="s">
        <v>22</v>
      </c>
      <c r="I26" t="s">
        <v>120</v>
      </c>
      <c r="L26" t="s">
        <v>23</v>
      </c>
      <c r="M26" t="s">
        <v>24</v>
      </c>
      <c r="N26" t="s">
        <v>25</v>
      </c>
      <c r="S26" s="11" t="s">
        <v>118</v>
      </c>
      <c r="T26" s="12" t="s">
        <v>116</v>
      </c>
      <c r="U26" s="12" t="s">
        <v>116</v>
      </c>
      <c r="V26" s="12" t="b">
        <v>1</v>
      </c>
      <c r="W26" s="12">
        <v>0.82489999999999997</v>
      </c>
      <c r="X26" s="12">
        <v>194.9992</v>
      </c>
      <c r="Y26" s="12" t="s">
        <v>116</v>
      </c>
      <c r="Z26" s="12" t="b">
        <v>1</v>
      </c>
      <c r="AA26" s="12">
        <v>1</v>
      </c>
      <c r="AB26" s="13" t="b">
        <v>1</v>
      </c>
    </row>
    <row r="27" spans="1:28">
      <c r="A27" t="s">
        <v>115</v>
      </c>
      <c r="B27" t="s">
        <v>116</v>
      </c>
      <c r="C27" t="s">
        <v>117</v>
      </c>
      <c r="D27" t="s">
        <v>19</v>
      </c>
      <c r="E27" t="s">
        <v>20</v>
      </c>
      <c r="F27" t="s">
        <v>121</v>
      </c>
      <c r="G27" t="s">
        <v>122</v>
      </c>
      <c r="H27" t="s">
        <v>22</v>
      </c>
      <c r="I27" t="s">
        <v>123</v>
      </c>
      <c r="L27" t="s">
        <v>23</v>
      </c>
      <c r="M27" t="s">
        <v>24</v>
      </c>
      <c r="N27" t="s">
        <v>31</v>
      </c>
      <c r="S27" s="11" t="s">
        <v>121</v>
      </c>
      <c r="T27" s="12" t="s">
        <v>116</v>
      </c>
      <c r="U27" s="12" t="s">
        <v>116</v>
      </c>
      <c r="V27" s="12" t="b">
        <v>1</v>
      </c>
      <c r="W27" s="12">
        <v>0.99750000000000005</v>
      </c>
      <c r="X27" s="12">
        <v>590.34550000000002</v>
      </c>
      <c r="Y27" s="12" t="s">
        <v>116</v>
      </c>
      <c r="Z27" s="12" t="b">
        <v>1</v>
      </c>
      <c r="AA27" s="12">
        <v>1</v>
      </c>
      <c r="AB27" s="13" t="b">
        <v>1</v>
      </c>
    </row>
    <row r="28" spans="1:28">
      <c r="A28" t="s">
        <v>124</v>
      </c>
      <c r="B28" t="s">
        <v>125</v>
      </c>
      <c r="C28" t="s">
        <v>126</v>
      </c>
      <c r="D28" t="s">
        <v>127</v>
      </c>
      <c r="E28" t="s">
        <v>127</v>
      </c>
      <c r="F28" t="s">
        <v>128</v>
      </c>
      <c r="G28" t="s">
        <v>128</v>
      </c>
      <c r="L28" t="s">
        <v>23</v>
      </c>
      <c r="M28" t="s">
        <v>24</v>
      </c>
      <c r="N28" t="s">
        <v>31</v>
      </c>
      <c r="S28" s="11" t="s">
        <v>128</v>
      </c>
      <c r="T28" s="12" t="s">
        <v>125</v>
      </c>
      <c r="U28" s="12" t="s">
        <v>125</v>
      </c>
      <c r="V28" s="12" t="b">
        <v>1</v>
      </c>
      <c r="W28" s="12">
        <v>0.77990000000000004</v>
      </c>
      <c r="X28" s="12">
        <v>146.00800000000001</v>
      </c>
      <c r="Y28" s="12" t="s">
        <v>999</v>
      </c>
      <c r="Z28" s="12" t="b">
        <v>1</v>
      </c>
      <c r="AA28" s="12">
        <v>1</v>
      </c>
      <c r="AB28" s="13" t="b">
        <v>1</v>
      </c>
    </row>
    <row r="29" spans="1:28">
      <c r="A29" t="s">
        <v>129</v>
      </c>
      <c r="B29" t="s">
        <v>130</v>
      </c>
      <c r="C29" t="s">
        <v>131</v>
      </c>
      <c r="D29" t="s">
        <v>127</v>
      </c>
      <c r="E29" t="s">
        <v>127</v>
      </c>
      <c r="F29" t="s">
        <v>132</v>
      </c>
      <c r="G29" t="s">
        <v>133</v>
      </c>
      <c r="L29" t="s">
        <v>23</v>
      </c>
      <c r="M29" t="s">
        <v>24</v>
      </c>
      <c r="N29" t="s">
        <v>31</v>
      </c>
      <c r="S29" s="11" t="s">
        <v>132</v>
      </c>
      <c r="T29" s="12" t="s">
        <v>130</v>
      </c>
      <c r="U29" s="12" t="s">
        <v>130</v>
      </c>
      <c r="V29" s="12" t="b">
        <v>1</v>
      </c>
      <c r="W29" s="12">
        <v>1</v>
      </c>
      <c r="X29" s="12">
        <v>963.80119999999999</v>
      </c>
      <c r="Y29" s="12" t="s">
        <v>130</v>
      </c>
      <c r="Z29" s="12" t="b">
        <v>1</v>
      </c>
      <c r="AA29" s="12">
        <v>1</v>
      </c>
      <c r="AB29" s="13" t="b">
        <v>1</v>
      </c>
    </row>
    <row r="30" spans="1:28">
      <c r="A30" t="s">
        <v>134</v>
      </c>
      <c r="B30" t="s">
        <v>135</v>
      </c>
      <c r="C30" t="s">
        <v>136</v>
      </c>
      <c r="D30" t="s">
        <v>19</v>
      </c>
      <c r="E30" t="s">
        <v>20</v>
      </c>
      <c r="F30" t="s">
        <v>134</v>
      </c>
      <c r="G30" t="s">
        <v>137</v>
      </c>
      <c r="H30" t="s">
        <v>22</v>
      </c>
      <c r="L30" t="s">
        <v>23</v>
      </c>
      <c r="M30" t="s">
        <v>24</v>
      </c>
      <c r="N30" t="s">
        <v>25</v>
      </c>
      <c r="S30" s="11" t="s">
        <v>134</v>
      </c>
      <c r="T30" s="12" t="s">
        <v>135</v>
      </c>
      <c r="U30" s="12" t="s">
        <v>135</v>
      </c>
      <c r="V30" s="12" t="b">
        <v>1</v>
      </c>
      <c r="W30" s="12">
        <v>0.98199999999999998</v>
      </c>
      <c r="X30" s="12">
        <v>534.77819999999997</v>
      </c>
      <c r="Y30" s="12" t="s">
        <v>135</v>
      </c>
      <c r="Z30" s="12" t="b">
        <v>1</v>
      </c>
      <c r="AA30" s="12">
        <v>1</v>
      </c>
      <c r="AB30" s="13" t="b">
        <v>1</v>
      </c>
    </row>
    <row r="31" spans="1:28">
      <c r="A31" t="s">
        <v>138</v>
      </c>
      <c r="B31" t="s">
        <v>84</v>
      </c>
      <c r="C31" t="s">
        <v>139</v>
      </c>
      <c r="D31" t="s">
        <v>19</v>
      </c>
      <c r="E31" t="s">
        <v>20</v>
      </c>
      <c r="F31" t="s">
        <v>86</v>
      </c>
      <c r="G31" t="s">
        <v>140</v>
      </c>
      <c r="H31" t="s">
        <v>22</v>
      </c>
      <c r="I31" t="s">
        <v>141</v>
      </c>
      <c r="L31" t="s">
        <v>23</v>
      </c>
      <c r="M31" t="s">
        <v>24</v>
      </c>
      <c r="N31" t="s">
        <v>25</v>
      </c>
      <c r="S31" s="11" t="s">
        <v>86</v>
      </c>
      <c r="T31" s="12" t="s">
        <v>84</v>
      </c>
      <c r="U31" s="12" t="s">
        <v>84</v>
      </c>
      <c r="V31" s="12" t="b">
        <v>1</v>
      </c>
      <c r="W31" s="12">
        <v>0.89270000000000005</v>
      </c>
      <c r="X31" s="12">
        <v>301.5455</v>
      </c>
      <c r="Y31" s="12" t="s">
        <v>993</v>
      </c>
      <c r="Z31" s="12" t="b">
        <v>1</v>
      </c>
      <c r="AA31" s="12">
        <v>1</v>
      </c>
      <c r="AB31" s="13" t="b">
        <v>1</v>
      </c>
    </row>
    <row r="32" spans="1:28">
      <c r="A32" t="s">
        <v>142</v>
      </c>
      <c r="B32" t="s">
        <v>143</v>
      </c>
      <c r="C32" t="s">
        <v>144</v>
      </c>
      <c r="D32" t="s">
        <v>19</v>
      </c>
      <c r="E32" t="s">
        <v>20</v>
      </c>
      <c r="F32" t="s">
        <v>145</v>
      </c>
      <c r="G32" t="s">
        <v>146</v>
      </c>
      <c r="H32" t="s">
        <v>22</v>
      </c>
      <c r="L32" t="s">
        <v>23</v>
      </c>
      <c r="M32" t="s">
        <v>24</v>
      </c>
      <c r="N32" t="s">
        <v>25</v>
      </c>
      <c r="S32" s="11" t="s">
        <v>145</v>
      </c>
      <c r="T32" s="12" t="s">
        <v>143</v>
      </c>
      <c r="U32" s="12" t="s">
        <v>143</v>
      </c>
      <c r="V32" s="12" t="b">
        <v>1</v>
      </c>
      <c r="W32" s="12">
        <v>0.91790000000000005</v>
      </c>
      <c r="X32" s="12">
        <v>354.31740000000002</v>
      </c>
      <c r="Y32" s="12" t="s">
        <v>143</v>
      </c>
      <c r="Z32" s="12" t="b">
        <v>1</v>
      </c>
      <c r="AA32" s="12">
        <v>1</v>
      </c>
      <c r="AB32" s="13" t="b">
        <v>1</v>
      </c>
    </row>
    <row r="33" spans="1:28">
      <c r="A33" t="s">
        <v>147</v>
      </c>
      <c r="B33" t="s">
        <v>148</v>
      </c>
      <c r="C33" t="s">
        <v>149</v>
      </c>
      <c r="D33" t="s">
        <v>19</v>
      </c>
      <c r="E33" t="s">
        <v>20</v>
      </c>
      <c r="F33" t="s">
        <v>147</v>
      </c>
      <c r="G33" t="s">
        <v>150</v>
      </c>
      <c r="H33" t="s">
        <v>22</v>
      </c>
      <c r="I33" t="s">
        <v>151</v>
      </c>
      <c r="L33" t="s">
        <v>23</v>
      </c>
      <c r="M33" t="s">
        <v>24</v>
      </c>
      <c r="N33" t="s">
        <v>25</v>
      </c>
      <c r="S33" s="11" t="s">
        <v>147</v>
      </c>
      <c r="T33" s="12" t="s">
        <v>148</v>
      </c>
      <c r="U33" s="12" t="s">
        <v>148</v>
      </c>
      <c r="V33" s="12" t="b">
        <v>1</v>
      </c>
      <c r="W33" s="12">
        <v>0.79449999999999998</v>
      </c>
      <c r="X33" s="12">
        <v>160.36859999999999</v>
      </c>
      <c r="Y33" s="12" t="s">
        <v>1000</v>
      </c>
      <c r="Z33" s="12" t="b">
        <v>1</v>
      </c>
      <c r="AA33" s="12">
        <v>1</v>
      </c>
      <c r="AB33" s="13" t="b">
        <v>1</v>
      </c>
    </row>
    <row r="34" spans="1:28" s="2" customFormat="1">
      <c r="A34" s="2" t="s">
        <v>152</v>
      </c>
      <c r="B34" s="2" t="s">
        <v>152</v>
      </c>
      <c r="C34" s="2" t="s">
        <v>153</v>
      </c>
      <c r="D34" s="2" t="s">
        <v>19</v>
      </c>
      <c r="E34" s="2" t="s">
        <v>20</v>
      </c>
      <c r="F34" s="2" t="s">
        <v>154</v>
      </c>
      <c r="G34" s="2" t="s">
        <v>155</v>
      </c>
      <c r="H34" s="2" t="s">
        <v>22</v>
      </c>
      <c r="I34" s="2" t="s">
        <v>156</v>
      </c>
      <c r="L34" t="s">
        <v>23</v>
      </c>
      <c r="M34" t="s">
        <v>24</v>
      </c>
      <c r="N34" t="s">
        <v>49</v>
      </c>
      <c r="S34" s="11" t="s">
        <v>154</v>
      </c>
      <c r="T34" s="12" t="s">
        <v>152</v>
      </c>
      <c r="U34" s="12"/>
      <c r="V34" s="12" t="b">
        <v>0</v>
      </c>
      <c r="W34" s="12"/>
      <c r="X34" s="12"/>
      <c r="Y34" s="12"/>
      <c r="Z34" s="12" t="b">
        <v>0</v>
      </c>
      <c r="AA34" s="12"/>
      <c r="AB34" s="13" t="b">
        <v>0</v>
      </c>
    </row>
    <row r="35" spans="1:28">
      <c r="A35" s="2" t="s">
        <v>157</v>
      </c>
      <c r="B35" s="2" t="s">
        <v>158</v>
      </c>
      <c r="C35" s="2" t="s">
        <v>159</v>
      </c>
      <c r="D35" s="2" t="s">
        <v>19</v>
      </c>
      <c r="E35" s="2" t="s">
        <v>20</v>
      </c>
      <c r="F35" s="2" t="s">
        <v>157</v>
      </c>
      <c r="G35" s="2" t="s">
        <v>160</v>
      </c>
      <c r="H35" s="2" t="s">
        <v>22</v>
      </c>
      <c r="I35" s="2" t="s">
        <v>161</v>
      </c>
      <c r="J35" s="2"/>
      <c r="K35" s="2"/>
      <c r="L35" t="s">
        <v>23</v>
      </c>
      <c r="M35" t="s">
        <v>24</v>
      </c>
      <c r="N35" t="s">
        <v>25</v>
      </c>
      <c r="S35" s="11" t="s">
        <v>157</v>
      </c>
      <c r="T35" s="12" t="s">
        <v>158</v>
      </c>
      <c r="U35" s="12" t="s">
        <v>158</v>
      </c>
      <c r="V35" s="12" t="b">
        <v>1</v>
      </c>
      <c r="W35" s="12">
        <v>0.93769999999999998</v>
      </c>
      <c r="X35" s="12">
        <v>402.5326</v>
      </c>
      <c r="Y35" s="12" t="s">
        <v>1001</v>
      </c>
      <c r="Z35" s="12" t="b">
        <v>1</v>
      </c>
      <c r="AA35" s="12">
        <v>1</v>
      </c>
      <c r="AB35" s="13" t="b">
        <v>1</v>
      </c>
    </row>
    <row r="36" spans="1:28">
      <c r="A36" s="2" t="s">
        <v>162</v>
      </c>
      <c r="B36" s="2" t="s">
        <v>163</v>
      </c>
      <c r="C36" s="2" t="s">
        <v>164</v>
      </c>
      <c r="D36" s="2" t="s">
        <v>19</v>
      </c>
      <c r="E36" s="2" t="s">
        <v>20</v>
      </c>
      <c r="F36" s="2" t="s">
        <v>165</v>
      </c>
      <c r="G36" s="2" t="s">
        <v>166</v>
      </c>
      <c r="H36" s="2" t="s">
        <v>22</v>
      </c>
      <c r="I36" s="2" t="s">
        <v>167</v>
      </c>
      <c r="J36" s="2"/>
      <c r="K36" s="2"/>
      <c r="L36" t="s">
        <v>23</v>
      </c>
      <c r="M36" t="s">
        <v>24</v>
      </c>
      <c r="N36" t="s">
        <v>49</v>
      </c>
      <c r="S36" s="11" t="s">
        <v>165</v>
      </c>
      <c r="T36" s="12" t="s">
        <v>163</v>
      </c>
      <c r="U36" s="12" t="s">
        <v>168</v>
      </c>
      <c r="V36" s="12" t="b">
        <v>0</v>
      </c>
      <c r="W36" s="12">
        <v>1</v>
      </c>
      <c r="X36" s="12">
        <v>797.90620000000001</v>
      </c>
      <c r="Y36" s="12" t="s">
        <v>168</v>
      </c>
      <c r="Z36" s="12" t="b">
        <v>0</v>
      </c>
      <c r="AA36" s="12"/>
      <c r="AB36" s="13" t="b">
        <v>1</v>
      </c>
    </row>
    <row r="37" spans="1:28">
      <c r="A37" s="2" t="s">
        <v>165</v>
      </c>
      <c r="B37" s="2" t="s">
        <v>168</v>
      </c>
      <c r="C37" s="2" t="s">
        <v>169</v>
      </c>
      <c r="D37" s="2" t="s">
        <v>19</v>
      </c>
      <c r="E37" s="2" t="s">
        <v>20</v>
      </c>
      <c r="F37" s="2" t="s">
        <v>165</v>
      </c>
      <c r="G37" s="2" t="s">
        <v>170</v>
      </c>
      <c r="H37" s="2" t="s">
        <v>22</v>
      </c>
      <c r="I37" s="2" t="s">
        <v>171</v>
      </c>
      <c r="J37" s="2"/>
      <c r="K37" s="2"/>
      <c r="L37" t="s">
        <v>23</v>
      </c>
      <c r="M37" t="s">
        <v>24</v>
      </c>
      <c r="N37" t="s">
        <v>31</v>
      </c>
      <c r="S37" s="11" t="s">
        <v>165</v>
      </c>
      <c r="T37" s="12" t="s">
        <v>168</v>
      </c>
      <c r="U37" s="12" t="s">
        <v>168</v>
      </c>
      <c r="V37" s="12" t="b">
        <v>1</v>
      </c>
      <c r="W37" s="12">
        <v>1</v>
      </c>
      <c r="X37" s="12">
        <v>797.90620000000001</v>
      </c>
      <c r="Y37" s="12" t="s">
        <v>168</v>
      </c>
      <c r="Z37" s="12" t="b">
        <v>1</v>
      </c>
      <c r="AA37" s="12">
        <v>1</v>
      </c>
      <c r="AB37" s="13" t="b">
        <v>1</v>
      </c>
    </row>
    <row r="38" spans="1:28">
      <c r="A38" s="2" t="s">
        <v>172</v>
      </c>
      <c r="B38" s="2" t="s">
        <v>173</v>
      </c>
      <c r="C38" s="2" t="s">
        <v>174</v>
      </c>
      <c r="D38" s="2" t="s">
        <v>19</v>
      </c>
      <c r="E38" s="2" t="s">
        <v>20</v>
      </c>
      <c r="F38" s="2" t="s">
        <v>175</v>
      </c>
      <c r="G38" s="2" t="s">
        <v>176</v>
      </c>
      <c r="H38" s="2"/>
      <c r="I38" s="2"/>
      <c r="J38" s="2"/>
      <c r="K38" s="2"/>
      <c r="L38" t="s">
        <v>23</v>
      </c>
      <c r="M38" t="s">
        <v>24</v>
      </c>
      <c r="N38" t="s">
        <v>49</v>
      </c>
      <c r="S38" s="11" t="s">
        <v>175</v>
      </c>
      <c r="T38" s="12" t="s">
        <v>173</v>
      </c>
      <c r="U38" s="12"/>
      <c r="V38" s="12" t="b">
        <v>0</v>
      </c>
      <c r="W38" s="12"/>
      <c r="X38" s="12"/>
      <c r="Y38" s="12" t="s">
        <v>1002</v>
      </c>
      <c r="Z38" s="12" t="b">
        <v>0</v>
      </c>
      <c r="AA38" s="12"/>
      <c r="AB38" s="13" t="b">
        <v>0</v>
      </c>
    </row>
    <row r="39" spans="1:28">
      <c r="A39" t="s">
        <v>16</v>
      </c>
      <c r="B39" t="s">
        <v>17</v>
      </c>
      <c r="C39" t="s">
        <v>177</v>
      </c>
      <c r="D39" t="s">
        <v>44</v>
      </c>
      <c r="E39" t="s">
        <v>20</v>
      </c>
      <c r="F39" t="s">
        <v>178</v>
      </c>
      <c r="H39" t="s">
        <v>179</v>
      </c>
      <c r="J39">
        <v>15670</v>
      </c>
      <c r="L39" t="s">
        <v>180</v>
      </c>
      <c r="M39" t="s">
        <v>24</v>
      </c>
      <c r="N39" t="s">
        <v>49</v>
      </c>
      <c r="S39" s="11" t="s">
        <v>178</v>
      </c>
      <c r="T39" s="12" t="s">
        <v>17</v>
      </c>
      <c r="U39" s="12"/>
      <c r="V39" s="12" t="b">
        <v>0</v>
      </c>
      <c r="W39" s="12"/>
      <c r="X39" s="12"/>
      <c r="Y39" s="12" t="s">
        <v>1003</v>
      </c>
      <c r="Z39" s="12" t="b">
        <v>0</v>
      </c>
      <c r="AA39" s="12"/>
      <c r="AB39" s="13" t="b">
        <v>0</v>
      </c>
    </row>
    <row r="40" spans="1:28">
      <c r="A40" t="s">
        <v>26</v>
      </c>
      <c r="B40" t="s">
        <v>27</v>
      </c>
      <c r="C40" t="s">
        <v>181</v>
      </c>
      <c r="D40" t="s">
        <v>127</v>
      </c>
      <c r="E40" t="s">
        <v>127</v>
      </c>
      <c r="F40" t="s">
        <v>182</v>
      </c>
      <c r="H40" t="s">
        <v>183</v>
      </c>
      <c r="J40">
        <v>12867</v>
      </c>
      <c r="L40" t="s">
        <v>180</v>
      </c>
      <c r="M40" t="s">
        <v>24</v>
      </c>
      <c r="N40" t="s">
        <v>31</v>
      </c>
      <c r="S40" s="11" t="s">
        <v>182</v>
      </c>
      <c r="T40" s="12" t="s">
        <v>27</v>
      </c>
      <c r="U40" s="12" t="s">
        <v>27</v>
      </c>
      <c r="V40" s="12" t="b">
        <v>1</v>
      </c>
      <c r="W40" s="12">
        <v>0.97519999999999996</v>
      </c>
      <c r="X40" s="12">
        <v>511.78359999999998</v>
      </c>
      <c r="Y40" s="12" t="s">
        <v>987</v>
      </c>
      <c r="Z40" s="12" t="b">
        <v>1</v>
      </c>
      <c r="AA40" s="12">
        <v>1</v>
      </c>
      <c r="AB40" s="13" t="b">
        <v>1</v>
      </c>
    </row>
    <row r="41" spans="1:28">
      <c r="A41" t="s">
        <v>184</v>
      </c>
      <c r="B41" t="s">
        <v>185</v>
      </c>
      <c r="C41" t="s">
        <v>186</v>
      </c>
      <c r="D41" t="s">
        <v>19</v>
      </c>
      <c r="E41" t="s">
        <v>20</v>
      </c>
      <c r="F41" t="s">
        <v>187</v>
      </c>
      <c r="H41" t="s">
        <v>188</v>
      </c>
      <c r="J41">
        <v>15010</v>
      </c>
      <c r="L41" t="s">
        <v>180</v>
      </c>
      <c r="M41" t="s">
        <v>24</v>
      </c>
      <c r="N41" t="s">
        <v>25</v>
      </c>
      <c r="S41" s="11" t="s">
        <v>187</v>
      </c>
      <c r="T41" s="12" t="s">
        <v>185</v>
      </c>
      <c r="U41" s="12" t="s">
        <v>185</v>
      </c>
      <c r="V41" s="12" t="b">
        <v>1</v>
      </c>
      <c r="W41" s="12">
        <v>0.91790000000000005</v>
      </c>
      <c r="X41" s="12">
        <v>354.31740000000002</v>
      </c>
      <c r="Y41" s="12" t="s">
        <v>185</v>
      </c>
      <c r="Z41" s="12" t="b">
        <v>1</v>
      </c>
      <c r="AA41" s="12">
        <v>1</v>
      </c>
      <c r="AB41" s="13" t="b">
        <v>1</v>
      </c>
    </row>
    <row r="42" spans="1:28">
      <c r="A42" t="s">
        <v>53</v>
      </c>
      <c r="B42" t="s">
        <v>54</v>
      </c>
      <c r="C42" t="s">
        <v>55</v>
      </c>
      <c r="D42" t="s">
        <v>19</v>
      </c>
      <c r="E42" t="s">
        <v>20</v>
      </c>
      <c r="F42" t="s">
        <v>53</v>
      </c>
      <c r="H42" t="s">
        <v>189</v>
      </c>
      <c r="J42">
        <v>5628</v>
      </c>
      <c r="L42" t="s">
        <v>180</v>
      </c>
      <c r="M42" t="s">
        <v>24</v>
      </c>
      <c r="N42" t="s">
        <v>25</v>
      </c>
      <c r="S42" s="11" t="s">
        <v>53</v>
      </c>
      <c r="T42" s="12" t="s">
        <v>54</v>
      </c>
      <c r="U42" s="12" t="s">
        <v>54</v>
      </c>
      <c r="V42" s="12" t="b">
        <v>1</v>
      </c>
      <c r="W42" s="12">
        <v>0.95279999999999998</v>
      </c>
      <c r="X42" s="12">
        <v>443.35820000000001</v>
      </c>
      <c r="Y42" s="12" t="s">
        <v>990</v>
      </c>
      <c r="Z42" s="12" t="b">
        <v>1</v>
      </c>
      <c r="AA42" s="12">
        <v>1</v>
      </c>
      <c r="AB42" s="13" t="b">
        <v>1</v>
      </c>
    </row>
    <row r="43" spans="1:28">
      <c r="A43" t="s">
        <v>190</v>
      </c>
      <c r="B43" t="s">
        <v>191</v>
      </c>
      <c r="C43" t="s">
        <v>192</v>
      </c>
      <c r="D43" t="s">
        <v>19</v>
      </c>
      <c r="E43" t="s">
        <v>20</v>
      </c>
      <c r="F43" t="s">
        <v>193</v>
      </c>
      <c r="H43" t="s">
        <v>22</v>
      </c>
      <c r="J43">
        <v>3130</v>
      </c>
      <c r="L43" t="s">
        <v>180</v>
      </c>
      <c r="M43" t="s">
        <v>24</v>
      </c>
      <c r="N43" t="s">
        <v>25</v>
      </c>
      <c r="S43" s="11" t="s">
        <v>193</v>
      </c>
      <c r="T43" s="12" t="s">
        <v>191</v>
      </c>
      <c r="U43" s="12" t="s">
        <v>191</v>
      </c>
      <c r="V43" s="12" t="b">
        <v>1</v>
      </c>
      <c r="W43" s="12">
        <v>1</v>
      </c>
      <c r="X43" s="12">
        <v>660.31110000000001</v>
      </c>
      <c r="Y43" s="12" t="s">
        <v>1004</v>
      </c>
      <c r="Z43" s="12" t="b">
        <v>1</v>
      </c>
      <c r="AA43" s="12">
        <v>1</v>
      </c>
      <c r="AB43" s="13" t="b">
        <v>1</v>
      </c>
    </row>
    <row r="44" spans="1:28">
      <c r="A44" t="s">
        <v>68</v>
      </c>
      <c r="B44" t="s">
        <v>69</v>
      </c>
      <c r="C44" t="s">
        <v>70</v>
      </c>
      <c r="D44" t="s">
        <v>19</v>
      </c>
      <c r="E44" t="s">
        <v>20</v>
      </c>
      <c r="F44" t="s">
        <v>194</v>
      </c>
      <c r="H44" t="s">
        <v>189</v>
      </c>
      <c r="J44">
        <v>3155</v>
      </c>
      <c r="L44" t="s">
        <v>180</v>
      </c>
      <c r="M44" t="s">
        <v>24</v>
      </c>
      <c r="N44" t="s">
        <v>31</v>
      </c>
      <c r="S44" s="11" t="s">
        <v>194</v>
      </c>
      <c r="T44" s="12" t="s">
        <v>69</v>
      </c>
      <c r="U44" s="12" t="s">
        <v>69</v>
      </c>
      <c r="V44" s="12" t="b">
        <v>1</v>
      </c>
      <c r="W44" s="12">
        <v>0.84989999999999999</v>
      </c>
      <c r="X44" s="12">
        <v>229.05699999999999</v>
      </c>
      <c r="Y44" s="12" t="s">
        <v>992</v>
      </c>
      <c r="Z44" s="12" t="b">
        <v>1</v>
      </c>
      <c r="AA44" s="12">
        <v>1</v>
      </c>
      <c r="AB44" s="13" t="b">
        <v>1</v>
      </c>
    </row>
    <row r="45" spans="1:28">
      <c r="A45" t="s">
        <v>195</v>
      </c>
      <c r="B45" t="s">
        <v>196</v>
      </c>
      <c r="C45" t="s">
        <v>197</v>
      </c>
      <c r="D45" t="s">
        <v>19</v>
      </c>
      <c r="E45" t="s">
        <v>20</v>
      </c>
      <c r="F45" t="s">
        <v>198</v>
      </c>
      <c r="H45" t="s">
        <v>189</v>
      </c>
      <c r="J45">
        <v>3098</v>
      </c>
      <c r="L45" t="s">
        <v>180</v>
      </c>
      <c r="M45" t="s">
        <v>24</v>
      </c>
      <c r="N45" t="s">
        <v>25</v>
      </c>
      <c r="S45" s="11" t="s">
        <v>198</v>
      </c>
      <c r="T45" s="12" t="s">
        <v>196</v>
      </c>
      <c r="U45" s="12" t="s">
        <v>196</v>
      </c>
      <c r="V45" s="12" t="b">
        <v>1</v>
      </c>
      <c r="W45" s="12">
        <v>0.94810000000000005</v>
      </c>
      <c r="X45" s="12">
        <v>430.20280000000002</v>
      </c>
      <c r="Y45" s="12" t="s">
        <v>1005</v>
      </c>
      <c r="Z45" s="12" t="b">
        <v>1</v>
      </c>
      <c r="AA45" s="12">
        <v>1</v>
      </c>
      <c r="AB45" s="13" t="b">
        <v>1</v>
      </c>
    </row>
    <row r="46" spans="1:28">
      <c r="A46" t="s">
        <v>199</v>
      </c>
      <c r="B46" t="s">
        <v>200</v>
      </c>
      <c r="C46" t="s">
        <v>201</v>
      </c>
      <c r="D46" t="s">
        <v>19</v>
      </c>
      <c r="E46" t="s">
        <v>20</v>
      </c>
      <c r="F46" t="s">
        <v>202</v>
      </c>
      <c r="H46" t="s">
        <v>203</v>
      </c>
      <c r="J46">
        <v>3240</v>
      </c>
      <c r="L46" t="s">
        <v>180</v>
      </c>
      <c r="M46" t="s">
        <v>24</v>
      </c>
      <c r="N46" t="s">
        <v>25</v>
      </c>
      <c r="S46" s="11" t="s">
        <v>202</v>
      </c>
      <c r="T46" s="12" t="s">
        <v>200</v>
      </c>
      <c r="U46" s="12" t="s">
        <v>200</v>
      </c>
      <c r="V46" s="12" t="b">
        <v>1</v>
      </c>
      <c r="W46" s="12">
        <v>0.91290000000000004</v>
      </c>
      <c r="X46" s="12">
        <v>343.26870000000002</v>
      </c>
      <c r="Y46" s="12" t="s">
        <v>1006</v>
      </c>
      <c r="Z46" s="12" t="b">
        <v>1</v>
      </c>
      <c r="AA46" s="12">
        <v>1</v>
      </c>
      <c r="AB46" s="13" t="b">
        <v>1</v>
      </c>
    </row>
    <row r="47" spans="1:28">
      <c r="A47" t="s">
        <v>204</v>
      </c>
      <c r="B47" t="s">
        <v>205</v>
      </c>
      <c r="C47" t="s">
        <v>206</v>
      </c>
      <c r="D47" t="s">
        <v>19</v>
      </c>
      <c r="E47" t="s">
        <v>20</v>
      </c>
      <c r="F47" t="s">
        <v>207</v>
      </c>
      <c r="H47" t="s">
        <v>208</v>
      </c>
      <c r="J47">
        <v>10566</v>
      </c>
      <c r="L47" t="s">
        <v>180</v>
      </c>
      <c r="M47" t="s">
        <v>24</v>
      </c>
      <c r="N47" t="s">
        <v>31</v>
      </c>
      <c r="S47" s="11" t="s">
        <v>207</v>
      </c>
      <c r="T47" s="12" t="s">
        <v>205</v>
      </c>
      <c r="U47" s="12" t="s">
        <v>205</v>
      </c>
      <c r="V47" s="12" t="b">
        <v>1</v>
      </c>
      <c r="W47" s="12">
        <v>1</v>
      </c>
      <c r="X47" s="12">
        <v>962.42600000000004</v>
      </c>
      <c r="Y47" s="12" t="s">
        <v>1007</v>
      </c>
      <c r="Z47" s="12" t="b">
        <v>1</v>
      </c>
      <c r="AA47" s="12">
        <v>1</v>
      </c>
      <c r="AB47" s="13" t="b">
        <v>1</v>
      </c>
    </row>
    <row r="48" spans="1:28">
      <c r="A48" t="s">
        <v>209</v>
      </c>
      <c r="B48" t="s">
        <v>210</v>
      </c>
      <c r="C48" t="s">
        <v>211</v>
      </c>
      <c r="D48" t="s">
        <v>19</v>
      </c>
      <c r="E48" t="s">
        <v>20</v>
      </c>
      <c r="F48" t="s">
        <v>212</v>
      </c>
      <c r="H48" t="s">
        <v>189</v>
      </c>
      <c r="J48">
        <v>9059</v>
      </c>
      <c r="L48" t="s">
        <v>180</v>
      </c>
      <c r="M48" t="s">
        <v>24</v>
      </c>
      <c r="N48" t="s">
        <v>25</v>
      </c>
      <c r="S48" s="11" t="s">
        <v>212</v>
      </c>
      <c r="T48" s="12" t="s">
        <v>210</v>
      </c>
      <c r="U48" s="12" t="s">
        <v>210</v>
      </c>
      <c r="V48" s="12" t="b">
        <v>1</v>
      </c>
      <c r="W48" s="12">
        <v>0.93579999999999997</v>
      </c>
      <c r="X48" s="12">
        <v>397.49590000000001</v>
      </c>
      <c r="Y48" s="12" t="s">
        <v>210</v>
      </c>
      <c r="Z48" s="12" t="b">
        <v>1</v>
      </c>
      <c r="AA48" s="12">
        <v>1</v>
      </c>
      <c r="AB48" s="13" t="b">
        <v>1</v>
      </c>
    </row>
    <row r="49" spans="1:28">
      <c r="A49" t="s">
        <v>213</v>
      </c>
      <c r="B49" t="s">
        <v>214</v>
      </c>
      <c r="C49" t="s">
        <v>215</v>
      </c>
      <c r="D49" t="s">
        <v>44</v>
      </c>
      <c r="E49" t="s">
        <v>20</v>
      </c>
      <c r="F49" t="s">
        <v>216</v>
      </c>
      <c r="H49" t="s">
        <v>217</v>
      </c>
      <c r="J49">
        <v>10523</v>
      </c>
      <c r="L49" t="s">
        <v>180</v>
      </c>
      <c r="M49" t="s">
        <v>24</v>
      </c>
      <c r="N49" t="s">
        <v>49</v>
      </c>
      <c r="S49" s="11" t="s">
        <v>216</v>
      </c>
      <c r="T49" s="12" t="s">
        <v>214</v>
      </c>
      <c r="U49" s="12"/>
      <c r="V49" s="12" t="b">
        <v>0</v>
      </c>
      <c r="W49" s="12"/>
      <c r="X49" s="12"/>
      <c r="Y49" s="12" t="s">
        <v>1008</v>
      </c>
      <c r="Z49" s="12" t="b">
        <v>0</v>
      </c>
      <c r="AA49" s="12"/>
      <c r="AB49" s="13" t="b">
        <v>0</v>
      </c>
    </row>
    <row r="50" spans="1:28">
      <c r="A50" t="s">
        <v>213</v>
      </c>
      <c r="B50" t="s">
        <v>214</v>
      </c>
      <c r="C50" t="s">
        <v>218</v>
      </c>
      <c r="D50" t="s">
        <v>19</v>
      </c>
      <c r="E50" t="s">
        <v>20</v>
      </c>
      <c r="F50" t="s">
        <v>216</v>
      </c>
      <c r="H50" t="s">
        <v>219</v>
      </c>
      <c r="J50">
        <v>10521</v>
      </c>
      <c r="L50" t="s">
        <v>180</v>
      </c>
      <c r="M50" t="s">
        <v>24</v>
      </c>
      <c r="N50" t="s">
        <v>49</v>
      </c>
      <c r="S50" s="11" t="s">
        <v>216</v>
      </c>
      <c r="T50" s="12" t="s">
        <v>214</v>
      </c>
      <c r="U50" s="12"/>
      <c r="V50" s="12" t="b">
        <v>0</v>
      </c>
      <c r="W50" s="12"/>
      <c r="X50" s="12"/>
      <c r="Y50" s="12" t="s">
        <v>1008</v>
      </c>
      <c r="Z50" s="12" t="b">
        <v>0</v>
      </c>
      <c r="AA50" s="12"/>
      <c r="AB50" s="13" t="b">
        <v>0</v>
      </c>
    </row>
    <row r="51" spans="1:28">
      <c r="A51" t="s">
        <v>220</v>
      </c>
      <c r="B51" t="s">
        <v>221</v>
      </c>
      <c r="C51" t="s">
        <v>222</v>
      </c>
      <c r="D51" t="s">
        <v>19</v>
      </c>
      <c r="E51" t="s">
        <v>20</v>
      </c>
      <c r="F51" t="s">
        <v>223</v>
      </c>
      <c r="H51" t="s">
        <v>22</v>
      </c>
      <c r="J51">
        <v>9770</v>
      </c>
      <c r="L51" t="s">
        <v>180</v>
      </c>
      <c r="M51" t="s">
        <v>24</v>
      </c>
      <c r="N51" t="s">
        <v>49</v>
      </c>
      <c r="S51" s="11" t="s">
        <v>223</v>
      </c>
      <c r="T51" s="12" t="s">
        <v>221</v>
      </c>
      <c r="U51" s="12" t="s">
        <v>221</v>
      </c>
      <c r="V51" s="12" t="b">
        <v>1</v>
      </c>
      <c r="W51" s="12">
        <v>0.9335</v>
      </c>
      <c r="X51" s="12">
        <v>391.77019999999999</v>
      </c>
      <c r="Y51" s="12" t="s">
        <v>221</v>
      </c>
      <c r="Z51" s="12" t="b">
        <v>1</v>
      </c>
      <c r="AA51" s="12">
        <v>1</v>
      </c>
      <c r="AB51" s="13" t="b">
        <v>1</v>
      </c>
    </row>
    <row r="52" spans="1:28">
      <c r="A52" t="s">
        <v>224</v>
      </c>
      <c r="B52" t="s">
        <v>148</v>
      </c>
      <c r="C52" t="s">
        <v>149</v>
      </c>
      <c r="D52" t="s">
        <v>19</v>
      </c>
      <c r="E52" t="s">
        <v>20</v>
      </c>
      <c r="F52" t="s">
        <v>225</v>
      </c>
      <c r="H52" t="s">
        <v>226</v>
      </c>
      <c r="J52">
        <v>15418</v>
      </c>
      <c r="L52" t="s">
        <v>180</v>
      </c>
      <c r="M52" t="s">
        <v>24</v>
      </c>
      <c r="N52" t="s">
        <v>25</v>
      </c>
      <c r="S52" s="11" t="s">
        <v>225</v>
      </c>
      <c r="T52" s="12" t="s">
        <v>148</v>
      </c>
      <c r="U52" s="12" t="s">
        <v>148</v>
      </c>
      <c r="V52" s="12" t="b">
        <v>1</v>
      </c>
      <c r="W52" s="12">
        <v>0.79449999999999998</v>
      </c>
      <c r="X52" s="12">
        <v>160.36859999999999</v>
      </c>
      <c r="Y52" s="12" t="s">
        <v>1000</v>
      </c>
      <c r="Z52" s="12" t="b">
        <v>1</v>
      </c>
      <c r="AA52" s="12">
        <v>1</v>
      </c>
      <c r="AB52" s="13" t="b">
        <v>1</v>
      </c>
    </row>
    <row r="53" spans="1:28">
      <c r="A53" t="s">
        <v>227</v>
      </c>
      <c r="B53" t="s">
        <v>158</v>
      </c>
      <c r="C53" t="s">
        <v>159</v>
      </c>
      <c r="D53" t="s">
        <v>19</v>
      </c>
      <c r="E53" t="s">
        <v>20</v>
      </c>
      <c r="F53" t="s">
        <v>228</v>
      </c>
      <c r="H53" t="s">
        <v>229</v>
      </c>
      <c r="J53">
        <v>12829</v>
      </c>
      <c r="L53" t="s">
        <v>180</v>
      </c>
      <c r="M53" t="s">
        <v>24</v>
      </c>
      <c r="N53" t="s">
        <v>49</v>
      </c>
      <c r="S53" s="11" t="s">
        <v>228</v>
      </c>
      <c r="T53" s="12" t="s">
        <v>158</v>
      </c>
      <c r="U53" s="12" t="s">
        <v>1010</v>
      </c>
      <c r="V53" s="12" t="b">
        <v>0</v>
      </c>
      <c r="W53" s="12">
        <v>0.81979999999999997</v>
      </c>
      <c r="X53" s="12">
        <v>188.66370000000001</v>
      </c>
      <c r="Y53" s="12" t="s">
        <v>1011</v>
      </c>
      <c r="Z53" s="12" t="b">
        <v>1</v>
      </c>
      <c r="AA53" s="12">
        <v>5</v>
      </c>
      <c r="AB53" s="13" t="b">
        <v>1</v>
      </c>
    </row>
    <row r="54" spans="1:28">
      <c r="A54" t="s">
        <v>230</v>
      </c>
      <c r="B54" t="s">
        <v>231</v>
      </c>
      <c r="C54" t="s">
        <v>232</v>
      </c>
      <c r="D54" t="s">
        <v>127</v>
      </c>
      <c r="E54" t="s">
        <v>127</v>
      </c>
      <c r="F54" t="s">
        <v>233</v>
      </c>
      <c r="H54" t="s">
        <v>234</v>
      </c>
      <c r="J54">
        <v>23253</v>
      </c>
      <c r="L54" t="s">
        <v>180</v>
      </c>
      <c r="M54" t="s">
        <v>24</v>
      </c>
      <c r="N54" t="s">
        <v>49</v>
      </c>
      <c r="S54" s="11" t="s">
        <v>233</v>
      </c>
      <c r="T54" s="12" t="s">
        <v>231</v>
      </c>
      <c r="U54" s="12" t="s">
        <v>233</v>
      </c>
      <c r="V54" s="12" t="b">
        <v>0</v>
      </c>
      <c r="W54" s="12">
        <v>1</v>
      </c>
      <c r="X54" s="12">
        <v>1305.1122</v>
      </c>
      <c r="Y54" s="12" t="s">
        <v>1012</v>
      </c>
      <c r="Z54" s="12" t="b">
        <v>0</v>
      </c>
      <c r="AA54" s="12"/>
      <c r="AB54" s="13" t="b">
        <v>1</v>
      </c>
    </row>
    <row r="55" spans="1:28">
      <c r="A55" t="s">
        <v>235</v>
      </c>
      <c r="B55" t="s">
        <v>236</v>
      </c>
      <c r="C55" t="s">
        <v>237</v>
      </c>
      <c r="D55" t="s">
        <v>19</v>
      </c>
      <c r="E55" t="s">
        <v>20</v>
      </c>
      <c r="F55" t="s">
        <v>238</v>
      </c>
      <c r="H55" t="s">
        <v>239</v>
      </c>
      <c r="J55">
        <v>13567</v>
      </c>
      <c r="L55" t="s">
        <v>180</v>
      </c>
      <c r="M55" t="s">
        <v>24</v>
      </c>
      <c r="N55" t="s">
        <v>49</v>
      </c>
      <c r="S55" s="11" t="s">
        <v>238</v>
      </c>
      <c r="T55" s="12" t="s">
        <v>236</v>
      </c>
      <c r="U55" s="12"/>
      <c r="V55" s="12" t="b">
        <v>0</v>
      </c>
      <c r="W55" s="12"/>
      <c r="X55" s="12"/>
      <c r="Y55" s="12"/>
      <c r="Z55" s="12" t="b">
        <v>0</v>
      </c>
      <c r="AA55" s="12"/>
      <c r="AB55" s="13" t="b">
        <v>0</v>
      </c>
    </row>
    <row r="56" spans="1:28">
      <c r="A56" t="s">
        <v>240</v>
      </c>
      <c r="B56" t="s">
        <v>241</v>
      </c>
      <c r="C56" t="s">
        <v>242</v>
      </c>
      <c r="D56" t="s">
        <v>19</v>
      </c>
      <c r="E56" t="s">
        <v>20</v>
      </c>
      <c r="F56" t="s">
        <v>243</v>
      </c>
      <c r="H56" t="s">
        <v>244</v>
      </c>
      <c r="J56">
        <v>11807</v>
      </c>
      <c r="L56" t="s">
        <v>180</v>
      </c>
      <c r="M56" t="s">
        <v>24</v>
      </c>
      <c r="N56" t="s">
        <v>31</v>
      </c>
      <c r="S56" s="11" t="s">
        <v>243</v>
      </c>
      <c r="T56" s="12" t="s">
        <v>241</v>
      </c>
      <c r="U56" s="12" t="s">
        <v>241</v>
      </c>
      <c r="V56" s="12" t="b">
        <v>1</v>
      </c>
      <c r="W56" s="12">
        <v>0.79410000000000003</v>
      </c>
      <c r="X56" s="12">
        <v>159.91319999999999</v>
      </c>
      <c r="Y56" s="12" t="s">
        <v>1013</v>
      </c>
      <c r="Z56" s="12" t="b">
        <v>1</v>
      </c>
      <c r="AA56" s="12">
        <v>1</v>
      </c>
      <c r="AB56" s="13" t="b">
        <v>1</v>
      </c>
    </row>
    <row r="57" spans="1:28">
      <c r="A57" t="s">
        <v>245</v>
      </c>
      <c r="B57" t="s">
        <v>246</v>
      </c>
      <c r="C57" t="s">
        <v>247</v>
      </c>
      <c r="D57" t="s">
        <v>19</v>
      </c>
      <c r="E57" t="s">
        <v>20</v>
      </c>
      <c r="F57" t="s">
        <v>248</v>
      </c>
      <c r="H57" t="s">
        <v>249</v>
      </c>
      <c r="J57">
        <v>14568</v>
      </c>
      <c r="L57" t="s">
        <v>180</v>
      </c>
      <c r="M57" t="s">
        <v>24</v>
      </c>
      <c r="N57" t="s">
        <v>31</v>
      </c>
      <c r="S57" s="11" t="s">
        <v>248</v>
      </c>
      <c r="T57" s="12" t="s">
        <v>246</v>
      </c>
      <c r="U57" s="12" t="s">
        <v>246</v>
      </c>
      <c r="V57" s="12" t="b">
        <v>1</v>
      </c>
      <c r="W57" s="12">
        <v>1</v>
      </c>
      <c r="X57" s="12">
        <v>615.21939999999995</v>
      </c>
      <c r="Y57" s="12" t="s">
        <v>1014</v>
      </c>
      <c r="Z57" s="12" t="b">
        <v>1</v>
      </c>
      <c r="AA57" s="12">
        <v>1</v>
      </c>
      <c r="AB57" s="13" t="b">
        <v>1</v>
      </c>
    </row>
    <row r="58" spans="1:28">
      <c r="A58" t="s">
        <v>184</v>
      </c>
      <c r="B58" t="s">
        <v>185</v>
      </c>
      <c r="C58" t="s">
        <v>186</v>
      </c>
      <c r="D58" t="s">
        <v>19</v>
      </c>
      <c r="E58" t="s">
        <v>20</v>
      </c>
      <c r="F58" t="s">
        <v>184</v>
      </c>
      <c r="H58" t="s">
        <v>250</v>
      </c>
      <c r="K58" t="s">
        <v>251</v>
      </c>
      <c r="L58" t="s">
        <v>252</v>
      </c>
      <c r="M58" t="s">
        <v>24</v>
      </c>
      <c r="N58" t="s">
        <v>25</v>
      </c>
      <c r="S58" s="11" t="s">
        <v>184</v>
      </c>
      <c r="T58" s="12" t="s">
        <v>185</v>
      </c>
      <c r="U58" s="12" t="s">
        <v>185</v>
      </c>
      <c r="V58" s="12" t="b">
        <v>1</v>
      </c>
      <c r="W58" s="12">
        <v>0.91790000000000005</v>
      </c>
      <c r="X58" s="12">
        <v>354.31740000000002</v>
      </c>
      <c r="Y58" s="12" t="s">
        <v>185</v>
      </c>
      <c r="Z58" s="12" t="b">
        <v>1</v>
      </c>
      <c r="AA58" s="12">
        <v>1</v>
      </c>
      <c r="AB58" s="13" t="b">
        <v>1</v>
      </c>
    </row>
    <row r="59" spans="1:28">
      <c r="A59" t="s">
        <v>253</v>
      </c>
      <c r="B59" t="s">
        <v>214</v>
      </c>
      <c r="C59" t="s">
        <v>254</v>
      </c>
      <c r="D59" t="s">
        <v>127</v>
      </c>
      <c r="E59" t="s">
        <v>127</v>
      </c>
      <c r="F59" t="s">
        <v>253</v>
      </c>
      <c r="H59" t="s">
        <v>127</v>
      </c>
      <c r="K59">
        <v>1680</v>
      </c>
      <c r="L59" t="s">
        <v>252</v>
      </c>
      <c r="M59" t="s">
        <v>24</v>
      </c>
      <c r="N59" t="s">
        <v>31</v>
      </c>
      <c r="S59" s="11" t="s">
        <v>253</v>
      </c>
      <c r="T59" s="12" t="s">
        <v>214</v>
      </c>
      <c r="U59" s="12" t="s">
        <v>214</v>
      </c>
      <c r="V59" s="12" t="b">
        <v>1</v>
      </c>
      <c r="W59" s="12">
        <v>1.2</v>
      </c>
      <c r="X59" s="12">
        <v>714.26639999999998</v>
      </c>
      <c r="Y59" s="12" t="s">
        <v>1015</v>
      </c>
      <c r="Z59" s="12" t="b">
        <v>1</v>
      </c>
      <c r="AA59" s="12">
        <v>1</v>
      </c>
      <c r="AB59" s="13" t="b">
        <v>1</v>
      </c>
    </row>
    <row r="60" spans="1:28">
      <c r="A60" t="s">
        <v>255</v>
      </c>
      <c r="B60" t="s">
        <v>256</v>
      </c>
      <c r="C60" t="s">
        <v>257</v>
      </c>
      <c r="D60" t="s">
        <v>79</v>
      </c>
      <c r="E60" t="s">
        <v>20</v>
      </c>
      <c r="F60" t="s">
        <v>258</v>
      </c>
      <c r="H60" t="s">
        <v>259</v>
      </c>
      <c r="K60" t="s">
        <v>260</v>
      </c>
      <c r="L60" t="s">
        <v>252</v>
      </c>
      <c r="M60" t="s">
        <v>24</v>
      </c>
      <c r="N60" t="s">
        <v>31</v>
      </c>
      <c r="S60" s="11" t="s">
        <v>1016</v>
      </c>
      <c r="T60" s="12" t="s">
        <v>256</v>
      </c>
      <c r="U60" s="12" t="s">
        <v>256</v>
      </c>
      <c r="V60" s="12" t="b">
        <v>1</v>
      </c>
      <c r="W60" s="12">
        <v>1</v>
      </c>
      <c r="X60" s="12">
        <v>963.34969999999998</v>
      </c>
      <c r="Y60" s="12" t="s">
        <v>256</v>
      </c>
      <c r="Z60" s="12" t="b">
        <v>1</v>
      </c>
      <c r="AA60" s="12">
        <v>1</v>
      </c>
      <c r="AB60" s="13" t="b">
        <v>1</v>
      </c>
    </row>
    <row r="61" spans="1:28">
      <c r="A61" t="s">
        <v>261</v>
      </c>
      <c r="B61" t="s">
        <v>262</v>
      </c>
      <c r="C61" t="s">
        <v>263</v>
      </c>
      <c r="D61" t="s">
        <v>19</v>
      </c>
      <c r="E61" t="s">
        <v>20</v>
      </c>
      <c r="F61" t="s">
        <v>261</v>
      </c>
      <c r="H61" t="s">
        <v>189</v>
      </c>
      <c r="K61" t="s">
        <v>264</v>
      </c>
      <c r="L61" t="s">
        <v>252</v>
      </c>
      <c r="M61" t="s">
        <v>24</v>
      </c>
      <c r="N61" t="s">
        <v>31</v>
      </c>
      <c r="S61" s="11" t="s">
        <v>261</v>
      </c>
      <c r="T61" s="12" t="s">
        <v>262</v>
      </c>
      <c r="U61" s="12" t="s">
        <v>262</v>
      </c>
      <c r="V61" s="12" t="b">
        <v>1</v>
      </c>
      <c r="W61" s="12">
        <v>1</v>
      </c>
      <c r="X61" s="12">
        <v>731.21140000000003</v>
      </c>
      <c r="Y61" s="12" t="s">
        <v>1017</v>
      </c>
      <c r="Z61" s="12" t="b">
        <v>1</v>
      </c>
      <c r="AA61" s="12">
        <v>1</v>
      </c>
      <c r="AB61" s="13" t="b">
        <v>1</v>
      </c>
    </row>
    <row r="62" spans="1:28">
      <c r="A62" t="s">
        <v>265</v>
      </c>
      <c r="B62" t="s">
        <v>266</v>
      </c>
      <c r="C62" t="s">
        <v>267</v>
      </c>
      <c r="D62" t="s">
        <v>19</v>
      </c>
      <c r="E62" t="s">
        <v>20</v>
      </c>
      <c r="F62" t="s">
        <v>268</v>
      </c>
      <c r="H62" t="s">
        <v>269</v>
      </c>
      <c r="K62">
        <v>2207</v>
      </c>
      <c r="L62" t="s">
        <v>252</v>
      </c>
      <c r="M62" t="s">
        <v>24</v>
      </c>
      <c r="N62" t="s">
        <v>49</v>
      </c>
      <c r="S62" s="11" t="s">
        <v>268</v>
      </c>
      <c r="T62" s="12" t="s">
        <v>266</v>
      </c>
      <c r="U62" s="12" t="s">
        <v>266</v>
      </c>
      <c r="V62" s="12" t="b">
        <v>1</v>
      </c>
      <c r="W62" s="12">
        <v>0.88480000000000003</v>
      </c>
      <c r="X62" s="12">
        <v>286.55340000000001</v>
      </c>
      <c r="Y62" s="12" t="s">
        <v>266</v>
      </c>
      <c r="Z62" s="12" t="b">
        <v>1</v>
      </c>
      <c r="AA62" s="12">
        <v>1</v>
      </c>
      <c r="AB62" s="13" t="b">
        <v>1</v>
      </c>
    </row>
    <row r="63" spans="1:28">
      <c r="A63" t="s">
        <v>270</v>
      </c>
      <c r="B63" t="s">
        <v>271</v>
      </c>
      <c r="C63" s="3" t="s">
        <v>272</v>
      </c>
      <c r="D63" t="s">
        <v>79</v>
      </c>
      <c r="E63" t="s">
        <v>20</v>
      </c>
      <c r="F63" t="s">
        <v>273</v>
      </c>
      <c r="H63" t="s">
        <v>259</v>
      </c>
      <c r="K63">
        <v>1915</v>
      </c>
      <c r="L63" t="s">
        <v>252</v>
      </c>
      <c r="M63" t="s">
        <v>24</v>
      </c>
      <c r="N63" t="s">
        <v>25</v>
      </c>
      <c r="S63" s="11" t="s">
        <v>273</v>
      </c>
      <c r="T63" s="12" t="s">
        <v>271</v>
      </c>
      <c r="U63" s="12" t="s">
        <v>271</v>
      </c>
      <c r="V63" s="12" t="b">
        <v>1</v>
      </c>
      <c r="W63" s="12">
        <v>0.95899999999999996</v>
      </c>
      <c r="X63" s="12">
        <v>461.45069999999998</v>
      </c>
      <c r="Y63" s="12" t="s">
        <v>271</v>
      </c>
      <c r="Z63" s="12" t="b">
        <v>1</v>
      </c>
      <c r="AA63" s="12">
        <v>1</v>
      </c>
      <c r="AB63" s="13" t="b">
        <v>1</v>
      </c>
    </row>
    <row r="64" spans="1:28">
      <c r="A64" t="s">
        <v>274</v>
      </c>
      <c r="B64" t="s">
        <v>275</v>
      </c>
      <c r="C64" t="s">
        <v>276</v>
      </c>
      <c r="D64" t="s">
        <v>44</v>
      </c>
      <c r="E64" t="s">
        <v>20</v>
      </c>
      <c r="F64" t="s">
        <v>277</v>
      </c>
      <c r="H64" t="s">
        <v>278</v>
      </c>
      <c r="K64">
        <v>1926</v>
      </c>
      <c r="L64" t="s">
        <v>252</v>
      </c>
      <c r="M64" t="s">
        <v>24</v>
      </c>
      <c r="N64" t="s">
        <v>31</v>
      </c>
      <c r="S64" s="11" t="s">
        <v>277</v>
      </c>
      <c r="T64" s="12" t="s">
        <v>275</v>
      </c>
      <c r="U64" s="12" t="s">
        <v>275</v>
      </c>
      <c r="V64" s="12" t="b">
        <v>1</v>
      </c>
      <c r="W64" s="12">
        <v>1</v>
      </c>
      <c r="X64" s="12">
        <v>955.01670000000001</v>
      </c>
      <c r="Y64" s="12" t="s">
        <v>275</v>
      </c>
      <c r="Z64" s="12" t="b">
        <v>1</v>
      </c>
      <c r="AA64" s="12">
        <v>1</v>
      </c>
      <c r="AB64" s="13" t="b">
        <v>1</v>
      </c>
    </row>
    <row r="65" spans="1:28">
      <c r="A65" t="s">
        <v>279</v>
      </c>
      <c r="B65" t="s">
        <v>280</v>
      </c>
      <c r="C65" t="s">
        <v>281</v>
      </c>
      <c r="D65" t="s">
        <v>79</v>
      </c>
      <c r="E65" t="s">
        <v>20</v>
      </c>
      <c r="F65" t="s">
        <v>282</v>
      </c>
      <c r="H65" t="s">
        <v>82</v>
      </c>
      <c r="K65" t="s">
        <v>283</v>
      </c>
      <c r="L65" t="s">
        <v>252</v>
      </c>
      <c r="M65" t="s">
        <v>24</v>
      </c>
      <c r="N65" t="s">
        <v>25</v>
      </c>
      <c r="S65" s="11" t="s">
        <v>282</v>
      </c>
      <c r="T65" s="12" t="s">
        <v>280</v>
      </c>
      <c r="U65" s="12" t="s">
        <v>280</v>
      </c>
      <c r="V65" s="12" t="b">
        <v>1</v>
      </c>
      <c r="W65" s="12">
        <v>0.91859999999999997</v>
      </c>
      <c r="X65" s="12">
        <v>355.9667</v>
      </c>
      <c r="Y65" s="12" t="s">
        <v>1018</v>
      </c>
      <c r="Z65" s="12" t="b">
        <v>1</v>
      </c>
      <c r="AA65" s="12">
        <v>1</v>
      </c>
      <c r="AB65" s="13" t="b">
        <v>1</v>
      </c>
    </row>
    <row r="66" spans="1:28">
      <c r="A66" t="s">
        <v>284</v>
      </c>
      <c r="B66" t="s">
        <v>285</v>
      </c>
      <c r="C66" t="s">
        <v>286</v>
      </c>
      <c r="D66" t="s">
        <v>127</v>
      </c>
      <c r="E66" t="s">
        <v>127</v>
      </c>
      <c r="F66" t="s">
        <v>284</v>
      </c>
      <c r="H66" t="s">
        <v>127</v>
      </c>
      <c r="K66">
        <v>1766</v>
      </c>
      <c r="L66" t="s">
        <v>252</v>
      </c>
      <c r="M66" t="s">
        <v>24</v>
      </c>
      <c r="N66" t="s">
        <v>25</v>
      </c>
      <c r="S66" s="11" t="s">
        <v>284</v>
      </c>
      <c r="T66" s="12" t="s">
        <v>285</v>
      </c>
      <c r="U66" s="12" t="s">
        <v>285</v>
      </c>
      <c r="V66" s="12" t="b">
        <v>1</v>
      </c>
      <c r="W66" s="12">
        <v>0.96850000000000003</v>
      </c>
      <c r="X66" s="12">
        <v>490.31990000000002</v>
      </c>
      <c r="Y66" s="12" t="s">
        <v>1019</v>
      </c>
      <c r="Z66" s="12" t="b">
        <v>1</v>
      </c>
      <c r="AA66" s="12">
        <v>1</v>
      </c>
      <c r="AB66" s="13" t="b">
        <v>1</v>
      </c>
    </row>
    <row r="67" spans="1:28">
      <c r="A67" t="s">
        <v>287</v>
      </c>
      <c r="B67" t="s">
        <v>288</v>
      </c>
      <c r="C67" t="s">
        <v>289</v>
      </c>
      <c r="D67" t="s">
        <v>127</v>
      </c>
      <c r="E67" t="s">
        <v>127</v>
      </c>
      <c r="F67" t="s">
        <v>290</v>
      </c>
      <c r="H67" t="s">
        <v>127</v>
      </c>
      <c r="K67">
        <v>1687</v>
      </c>
      <c r="L67" t="s">
        <v>252</v>
      </c>
      <c r="M67" t="s">
        <v>24</v>
      </c>
      <c r="N67" t="s">
        <v>25</v>
      </c>
      <c r="S67" s="11" t="s">
        <v>290</v>
      </c>
      <c r="T67" s="12" t="s">
        <v>288</v>
      </c>
      <c r="U67" s="12" t="s">
        <v>288</v>
      </c>
      <c r="V67" s="12" t="b">
        <v>1</v>
      </c>
      <c r="W67" s="12">
        <v>0.91749999999999998</v>
      </c>
      <c r="X67" s="12">
        <v>353.56740000000002</v>
      </c>
      <c r="Y67" s="12" t="s">
        <v>1020</v>
      </c>
      <c r="Z67" s="12" t="b">
        <v>1</v>
      </c>
      <c r="AA67" s="12">
        <v>1</v>
      </c>
      <c r="AB67" s="13" t="b">
        <v>1</v>
      </c>
    </row>
    <row r="68" spans="1:28">
      <c r="A68" t="s">
        <v>291</v>
      </c>
      <c r="B68" t="s">
        <v>292</v>
      </c>
      <c r="C68" t="s">
        <v>293</v>
      </c>
      <c r="D68" t="s">
        <v>19</v>
      </c>
      <c r="E68" t="s">
        <v>20</v>
      </c>
      <c r="F68" t="s">
        <v>291</v>
      </c>
      <c r="H68" t="s">
        <v>294</v>
      </c>
      <c r="K68" t="s">
        <v>295</v>
      </c>
      <c r="L68" t="s">
        <v>252</v>
      </c>
      <c r="M68" t="s">
        <v>24</v>
      </c>
      <c r="N68" t="s">
        <v>25</v>
      </c>
      <c r="S68" s="11" t="s">
        <v>291</v>
      </c>
      <c r="T68" s="12" t="s">
        <v>292</v>
      </c>
      <c r="U68" s="12" t="s">
        <v>292</v>
      </c>
      <c r="V68" s="12" t="b">
        <v>1</v>
      </c>
      <c r="W68" s="12">
        <v>0.90880000000000005</v>
      </c>
      <c r="X68" s="12">
        <v>334.22239999999999</v>
      </c>
      <c r="Y68" s="12" t="s">
        <v>1021</v>
      </c>
      <c r="Z68" s="12" t="b">
        <v>1</v>
      </c>
      <c r="AA68" s="12">
        <v>1</v>
      </c>
      <c r="AB68" s="13" t="b">
        <v>1</v>
      </c>
    </row>
    <row r="69" spans="1:28">
      <c r="A69" t="s">
        <v>296</v>
      </c>
      <c r="B69" t="s">
        <v>297</v>
      </c>
      <c r="C69" t="s">
        <v>298</v>
      </c>
      <c r="D69" t="s">
        <v>19</v>
      </c>
      <c r="E69" t="s">
        <v>20</v>
      </c>
      <c r="F69" t="s">
        <v>299</v>
      </c>
      <c r="H69" t="s">
        <v>300</v>
      </c>
      <c r="K69" t="s">
        <v>301</v>
      </c>
      <c r="L69" t="s">
        <v>252</v>
      </c>
      <c r="M69" t="s">
        <v>24</v>
      </c>
      <c r="N69" t="s">
        <v>25</v>
      </c>
      <c r="S69" s="11" t="s">
        <v>299</v>
      </c>
      <c r="T69" s="12" t="s">
        <v>297</v>
      </c>
      <c r="U69" s="12" t="s">
        <v>297</v>
      </c>
      <c r="V69" s="12" t="b">
        <v>1</v>
      </c>
      <c r="W69" s="12">
        <v>0.97060000000000002</v>
      </c>
      <c r="X69" s="12">
        <v>497.0403</v>
      </c>
      <c r="Y69" s="12" t="s">
        <v>1022</v>
      </c>
      <c r="Z69" s="12" t="b">
        <v>1</v>
      </c>
      <c r="AA69" s="12">
        <v>1</v>
      </c>
      <c r="AB69" s="13" t="b">
        <v>1</v>
      </c>
    </row>
    <row r="70" spans="1:28">
      <c r="A70" t="s">
        <v>302</v>
      </c>
      <c r="B70" t="s">
        <v>100</v>
      </c>
      <c r="C70" t="s">
        <v>303</v>
      </c>
      <c r="D70" t="s">
        <v>79</v>
      </c>
      <c r="E70" t="s">
        <v>79</v>
      </c>
      <c r="F70" t="s">
        <v>304</v>
      </c>
      <c r="H70" t="s">
        <v>82</v>
      </c>
      <c r="K70" t="s">
        <v>305</v>
      </c>
      <c r="L70" t="s">
        <v>252</v>
      </c>
      <c r="M70" t="s">
        <v>24</v>
      </c>
      <c r="N70" t="s">
        <v>31</v>
      </c>
      <c r="S70" s="11" t="s">
        <v>304</v>
      </c>
      <c r="T70" s="12" t="s">
        <v>100</v>
      </c>
      <c r="U70" s="12" t="s">
        <v>100</v>
      </c>
      <c r="V70" s="12" t="b">
        <v>1</v>
      </c>
      <c r="W70" s="12">
        <v>1</v>
      </c>
      <c r="X70" s="12">
        <v>606.16250000000002</v>
      </c>
      <c r="Y70" s="12" t="s">
        <v>996</v>
      </c>
      <c r="Z70" s="12" t="b">
        <v>1</v>
      </c>
      <c r="AA70" s="12">
        <v>1</v>
      </c>
      <c r="AB70" s="13" t="b">
        <v>1</v>
      </c>
    </row>
    <row r="71" spans="1:28">
      <c r="A71" t="s">
        <v>306</v>
      </c>
      <c r="B71" t="s">
        <v>307</v>
      </c>
      <c r="C71" t="s">
        <v>308</v>
      </c>
      <c r="D71" t="s">
        <v>19</v>
      </c>
      <c r="E71" t="s">
        <v>20</v>
      </c>
      <c r="F71" t="s">
        <v>309</v>
      </c>
      <c r="H71" t="s">
        <v>310</v>
      </c>
      <c r="K71" t="s">
        <v>311</v>
      </c>
      <c r="L71" t="s">
        <v>252</v>
      </c>
      <c r="M71" t="s">
        <v>24</v>
      </c>
      <c r="N71" t="s">
        <v>25</v>
      </c>
      <c r="S71" s="11" t="s">
        <v>309</v>
      </c>
      <c r="T71" s="12" t="s">
        <v>307</v>
      </c>
      <c r="U71" s="12" t="s">
        <v>307</v>
      </c>
      <c r="V71" s="12" t="b">
        <v>1</v>
      </c>
      <c r="W71" s="12">
        <v>0.91790000000000005</v>
      </c>
      <c r="X71" s="12">
        <v>354.31740000000002</v>
      </c>
      <c r="Y71" s="12" t="s">
        <v>307</v>
      </c>
      <c r="Z71" s="12" t="b">
        <v>1</v>
      </c>
      <c r="AA71" s="12">
        <v>1</v>
      </c>
      <c r="AB71" s="13" t="b">
        <v>1</v>
      </c>
    </row>
    <row r="72" spans="1:28">
      <c r="A72" t="s">
        <v>184</v>
      </c>
      <c r="B72" t="s">
        <v>185</v>
      </c>
      <c r="C72" t="s">
        <v>186</v>
      </c>
      <c r="D72" t="s">
        <v>19</v>
      </c>
      <c r="E72" t="s">
        <v>20</v>
      </c>
      <c r="F72" t="s">
        <v>185</v>
      </c>
      <c r="L72" t="s">
        <v>312</v>
      </c>
      <c r="M72" t="s">
        <v>24</v>
      </c>
      <c r="N72" t="s">
        <v>25</v>
      </c>
      <c r="S72" s="11" t="s">
        <v>185</v>
      </c>
      <c r="T72" s="12" t="s">
        <v>185</v>
      </c>
      <c r="U72" s="12" t="s">
        <v>185</v>
      </c>
      <c r="V72" s="12" t="b">
        <v>1</v>
      </c>
      <c r="W72" s="12">
        <v>0.98780000000000001</v>
      </c>
      <c r="X72" s="12">
        <v>554.98620000000005</v>
      </c>
      <c r="Y72" s="12" t="s">
        <v>1023</v>
      </c>
      <c r="Z72" s="12" t="b">
        <v>1</v>
      </c>
      <c r="AA72" s="12">
        <v>1</v>
      </c>
      <c r="AB72" s="13" t="b">
        <v>1</v>
      </c>
    </row>
    <row r="73" spans="1:28">
      <c r="A73" t="s">
        <v>313</v>
      </c>
      <c r="B73" t="s">
        <v>221</v>
      </c>
      <c r="C73" t="s">
        <v>314</v>
      </c>
      <c r="D73" t="s">
        <v>127</v>
      </c>
      <c r="E73" t="s">
        <v>127</v>
      </c>
      <c r="F73" t="s">
        <v>221</v>
      </c>
      <c r="L73" t="s">
        <v>312</v>
      </c>
      <c r="M73" t="s">
        <v>24</v>
      </c>
      <c r="N73" t="s">
        <v>25</v>
      </c>
      <c r="S73" s="11" t="s">
        <v>221</v>
      </c>
      <c r="T73" s="12" t="s">
        <v>221</v>
      </c>
      <c r="U73" s="12" t="s">
        <v>221</v>
      </c>
      <c r="V73" s="12" t="b">
        <v>1</v>
      </c>
      <c r="W73" s="12">
        <v>1</v>
      </c>
      <c r="X73" s="12">
        <v>731.15110000000004</v>
      </c>
      <c r="Y73" s="12" t="s">
        <v>221</v>
      </c>
      <c r="Z73" s="12" t="b">
        <v>1</v>
      </c>
      <c r="AA73" s="12">
        <v>1</v>
      </c>
      <c r="AB73" s="13" t="b">
        <v>1</v>
      </c>
    </row>
    <row r="74" spans="1:28">
      <c r="A74" t="s">
        <v>315</v>
      </c>
      <c r="B74" t="s">
        <v>316</v>
      </c>
      <c r="C74" t="s">
        <v>317</v>
      </c>
      <c r="D74" t="s">
        <v>44</v>
      </c>
      <c r="E74" t="s">
        <v>20</v>
      </c>
      <c r="F74" t="s">
        <v>316</v>
      </c>
      <c r="L74" t="s">
        <v>312</v>
      </c>
      <c r="M74" t="s">
        <v>24</v>
      </c>
      <c r="N74" t="s">
        <v>25</v>
      </c>
      <c r="S74" s="11" t="s">
        <v>316</v>
      </c>
      <c r="T74" s="12" t="s">
        <v>316</v>
      </c>
      <c r="U74" s="12" t="s">
        <v>316</v>
      </c>
      <c r="V74" s="12" t="b">
        <v>1</v>
      </c>
      <c r="W74" s="12">
        <v>1</v>
      </c>
      <c r="X74" s="12">
        <v>997.27070000000003</v>
      </c>
      <c r="Y74" s="12" t="s">
        <v>1024</v>
      </c>
      <c r="Z74" s="12" t="b">
        <v>1</v>
      </c>
      <c r="AA74" s="12">
        <v>1</v>
      </c>
      <c r="AB74" s="13" t="b">
        <v>1</v>
      </c>
    </row>
    <row r="75" spans="1:28">
      <c r="A75" t="s">
        <v>318</v>
      </c>
      <c r="B75" t="s">
        <v>316</v>
      </c>
      <c r="C75" t="s">
        <v>319</v>
      </c>
      <c r="D75" t="s">
        <v>127</v>
      </c>
      <c r="E75" t="s">
        <v>127</v>
      </c>
      <c r="F75" t="s">
        <v>316</v>
      </c>
      <c r="L75" t="s">
        <v>312</v>
      </c>
      <c r="M75" t="s">
        <v>24</v>
      </c>
      <c r="N75" t="s">
        <v>25</v>
      </c>
      <c r="S75" s="11" t="s">
        <v>316</v>
      </c>
      <c r="T75" s="12" t="s">
        <v>316</v>
      </c>
      <c r="U75" s="12" t="s">
        <v>316</v>
      </c>
      <c r="V75" s="12" t="b">
        <v>1</v>
      </c>
      <c r="W75" s="12">
        <v>1</v>
      </c>
      <c r="X75" s="12">
        <v>997.27070000000003</v>
      </c>
      <c r="Y75" s="12" t="s">
        <v>1024</v>
      </c>
      <c r="Z75" s="12" t="b">
        <v>1</v>
      </c>
      <c r="AA75" s="12">
        <v>1</v>
      </c>
      <c r="AB75" s="13" t="b">
        <v>1</v>
      </c>
    </row>
    <row r="76" spans="1:28">
      <c r="A76" t="s">
        <v>320</v>
      </c>
      <c r="B76" t="s">
        <v>321</v>
      </c>
      <c r="C76" t="s">
        <v>322</v>
      </c>
      <c r="D76" t="s">
        <v>127</v>
      </c>
      <c r="E76" t="s">
        <v>127</v>
      </c>
      <c r="F76" t="s">
        <v>321</v>
      </c>
      <c r="L76" t="s">
        <v>312</v>
      </c>
      <c r="M76" t="s">
        <v>24</v>
      </c>
      <c r="N76" t="s">
        <v>25</v>
      </c>
      <c r="Q76" s="36" t="s">
        <v>323</v>
      </c>
      <c r="S76" s="11" t="s">
        <v>321</v>
      </c>
      <c r="T76" s="12" t="s">
        <v>321</v>
      </c>
      <c r="U76" s="12" t="s">
        <v>321</v>
      </c>
      <c r="V76" s="12" t="b">
        <v>1</v>
      </c>
      <c r="W76" s="12">
        <v>1</v>
      </c>
      <c r="X76" s="12">
        <v>757.34230000000002</v>
      </c>
      <c r="Y76" s="12" t="s">
        <v>1025</v>
      </c>
      <c r="Z76" s="12" t="b">
        <v>1</v>
      </c>
      <c r="AA76" s="12">
        <v>1</v>
      </c>
      <c r="AB76" s="13" t="b">
        <v>1</v>
      </c>
    </row>
    <row r="77" spans="1:28">
      <c r="A77" t="s">
        <v>324</v>
      </c>
      <c r="B77" t="s">
        <v>148</v>
      </c>
      <c r="C77" t="s">
        <v>325</v>
      </c>
      <c r="D77" t="s">
        <v>79</v>
      </c>
      <c r="E77" t="s">
        <v>20</v>
      </c>
      <c r="F77" t="s">
        <v>148</v>
      </c>
      <c r="L77" t="s">
        <v>312</v>
      </c>
      <c r="M77" t="s">
        <v>24</v>
      </c>
      <c r="N77" t="s">
        <v>25</v>
      </c>
      <c r="S77" s="11" t="s">
        <v>148</v>
      </c>
      <c r="T77" s="12" t="s">
        <v>148</v>
      </c>
      <c r="U77" s="12" t="s">
        <v>148</v>
      </c>
      <c r="V77" s="12" t="b">
        <v>1</v>
      </c>
      <c r="W77" s="12">
        <v>0.89759999999999995</v>
      </c>
      <c r="X77" s="12">
        <v>311.14839999999998</v>
      </c>
      <c r="Y77" s="12" t="s">
        <v>1026</v>
      </c>
      <c r="Z77" s="12" t="b">
        <v>1</v>
      </c>
      <c r="AA77" s="12">
        <v>1</v>
      </c>
      <c r="AB77" s="13" t="b">
        <v>1</v>
      </c>
    </row>
    <row r="78" spans="1:28">
      <c r="A78" t="s">
        <v>326</v>
      </c>
      <c r="B78" t="s">
        <v>100</v>
      </c>
      <c r="C78" t="s">
        <v>101</v>
      </c>
      <c r="D78" t="s">
        <v>44</v>
      </c>
      <c r="E78" t="s">
        <v>20</v>
      </c>
      <c r="F78" t="s">
        <v>100</v>
      </c>
      <c r="L78" t="s">
        <v>312</v>
      </c>
      <c r="M78" t="s">
        <v>24</v>
      </c>
      <c r="N78" t="s">
        <v>25</v>
      </c>
      <c r="S78" s="11" t="s">
        <v>100</v>
      </c>
      <c r="T78" s="12" t="s">
        <v>100</v>
      </c>
      <c r="U78" s="12" t="s">
        <v>100</v>
      </c>
      <c r="V78" s="12" t="b">
        <v>1</v>
      </c>
      <c r="W78" s="12">
        <v>1</v>
      </c>
      <c r="X78" s="12">
        <v>908.45640000000003</v>
      </c>
      <c r="Y78" s="12" t="s">
        <v>1027</v>
      </c>
      <c r="Z78" s="12" t="b">
        <v>1</v>
      </c>
      <c r="AA78" s="12">
        <v>1</v>
      </c>
      <c r="AB78" s="13" t="b">
        <v>1</v>
      </c>
    </row>
    <row r="79" spans="1:28">
      <c r="A79" t="s">
        <v>199</v>
      </c>
      <c r="B79" t="s">
        <v>200</v>
      </c>
      <c r="C79" t="s">
        <v>201</v>
      </c>
      <c r="D79" t="s">
        <v>19</v>
      </c>
      <c r="E79" t="s">
        <v>20</v>
      </c>
      <c r="F79" t="s">
        <v>200</v>
      </c>
      <c r="L79" t="s">
        <v>312</v>
      </c>
      <c r="M79" t="s">
        <v>24</v>
      </c>
      <c r="N79" t="s">
        <v>25</v>
      </c>
      <c r="S79" s="11" t="s">
        <v>200</v>
      </c>
      <c r="T79" s="12" t="s">
        <v>200</v>
      </c>
      <c r="U79" s="12" t="s">
        <v>200</v>
      </c>
      <c r="V79" s="12" t="b">
        <v>1</v>
      </c>
      <c r="W79" s="12">
        <v>0.95199999999999996</v>
      </c>
      <c r="X79" s="12">
        <v>440.99259999999998</v>
      </c>
      <c r="Y79" s="12" t="s">
        <v>200</v>
      </c>
      <c r="Z79" s="12" t="b">
        <v>1</v>
      </c>
      <c r="AA79" s="12">
        <v>1</v>
      </c>
      <c r="AB79" s="13" t="b">
        <v>1</v>
      </c>
    </row>
    <row r="80" spans="1:28">
      <c r="A80" t="s">
        <v>327</v>
      </c>
      <c r="B80" t="s">
        <v>328</v>
      </c>
      <c r="C80" t="s">
        <v>329</v>
      </c>
      <c r="D80" t="s">
        <v>127</v>
      </c>
      <c r="E80" t="s">
        <v>127</v>
      </c>
      <c r="F80" t="s">
        <v>328</v>
      </c>
      <c r="L80" t="s">
        <v>312</v>
      </c>
      <c r="M80" t="s">
        <v>24</v>
      </c>
      <c r="N80" t="s">
        <v>25</v>
      </c>
      <c r="S80" s="11" t="s">
        <v>328</v>
      </c>
      <c r="T80" s="12" t="s">
        <v>328</v>
      </c>
      <c r="U80" s="12" t="s">
        <v>328</v>
      </c>
      <c r="V80" s="12" t="b">
        <v>1</v>
      </c>
      <c r="W80" s="12">
        <v>1</v>
      </c>
      <c r="X80" s="12">
        <v>619.18110000000001</v>
      </c>
      <c r="Y80" s="12" t="s">
        <v>328</v>
      </c>
      <c r="Z80" s="12" t="b">
        <v>1</v>
      </c>
      <c r="AA80" s="12">
        <v>1</v>
      </c>
      <c r="AB80" s="13" t="b">
        <v>1</v>
      </c>
    </row>
    <row r="81" spans="1:28">
      <c r="A81" t="s">
        <v>330</v>
      </c>
      <c r="B81" t="s">
        <v>331</v>
      </c>
      <c r="C81" t="s">
        <v>332</v>
      </c>
      <c r="D81" t="s">
        <v>79</v>
      </c>
      <c r="E81" t="s">
        <v>20</v>
      </c>
      <c r="G81" t="s">
        <v>330</v>
      </c>
      <c r="L81" t="s">
        <v>334</v>
      </c>
      <c r="M81" t="s">
        <v>24</v>
      </c>
      <c r="N81" t="s">
        <v>31</v>
      </c>
      <c r="S81" s="11" t="s">
        <v>330</v>
      </c>
      <c r="T81" s="12" t="s">
        <v>331</v>
      </c>
      <c r="U81" s="12" t="s">
        <v>331</v>
      </c>
      <c r="V81" s="12" t="b">
        <v>1</v>
      </c>
      <c r="W81" s="12">
        <v>0.74139999999999995</v>
      </c>
      <c r="X81" s="12">
        <v>216.80889999999999</v>
      </c>
      <c r="Y81" s="12" t="s">
        <v>1028</v>
      </c>
      <c r="Z81" s="12" t="b">
        <v>1</v>
      </c>
      <c r="AA81" s="12">
        <v>1</v>
      </c>
      <c r="AB81" s="13" t="b">
        <v>1</v>
      </c>
    </row>
    <row r="82" spans="1:28">
      <c r="A82" t="s">
        <v>335</v>
      </c>
      <c r="B82" t="s">
        <v>335</v>
      </c>
      <c r="C82" t="s">
        <v>336</v>
      </c>
      <c r="D82" t="s">
        <v>79</v>
      </c>
      <c r="E82" t="s">
        <v>20</v>
      </c>
      <c r="G82" t="s">
        <v>338</v>
      </c>
      <c r="L82" t="s">
        <v>334</v>
      </c>
      <c r="M82" t="s">
        <v>24</v>
      </c>
      <c r="N82" t="s">
        <v>31</v>
      </c>
      <c r="S82" s="11" t="s">
        <v>338</v>
      </c>
      <c r="T82" s="12" t="s">
        <v>335</v>
      </c>
      <c r="U82" s="12" t="s">
        <v>335</v>
      </c>
      <c r="V82" s="12" t="b">
        <v>1</v>
      </c>
      <c r="W82" s="12">
        <v>1.1128</v>
      </c>
      <c r="X82" s="12">
        <v>343.05579999999998</v>
      </c>
      <c r="Y82" s="12" t="s">
        <v>1029</v>
      </c>
      <c r="Z82" s="12" t="b">
        <v>1</v>
      </c>
      <c r="AA82" s="12">
        <v>1</v>
      </c>
      <c r="AB82" s="13" t="b">
        <v>1</v>
      </c>
    </row>
    <row r="83" spans="1:28">
      <c r="A83" t="s">
        <v>339</v>
      </c>
      <c r="B83" t="s">
        <v>340</v>
      </c>
      <c r="C83" t="s">
        <v>341</v>
      </c>
      <c r="D83" t="s">
        <v>127</v>
      </c>
      <c r="E83" t="s">
        <v>127</v>
      </c>
      <c r="G83" t="s">
        <v>342</v>
      </c>
      <c r="L83" t="s">
        <v>334</v>
      </c>
      <c r="M83" t="s">
        <v>24</v>
      </c>
      <c r="N83" t="s">
        <v>31</v>
      </c>
      <c r="S83" s="11" t="s">
        <v>342</v>
      </c>
      <c r="T83" s="12" t="s">
        <v>340</v>
      </c>
      <c r="U83" s="12" t="s">
        <v>340</v>
      </c>
      <c r="V83" s="12" t="b">
        <v>1</v>
      </c>
      <c r="W83" s="12">
        <v>1.2</v>
      </c>
      <c r="X83" s="12">
        <v>750.45669999999996</v>
      </c>
      <c r="Y83" s="12" t="s">
        <v>340</v>
      </c>
      <c r="Z83" s="12" t="b">
        <v>1</v>
      </c>
      <c r="AA83" s="12">
        <v>1</v>
      </c>
      <c r="AB83" s="13" t="b">
        <v>1</v>
      </c>
    </row>
    <row r="84" spans="1:28">
      <c r="A84" t="s">
        <v>343</v>
      </c>
      <c r="B84" t="s">
        <v>344</v>
      </c>
      <c r="C84" t="s">
        <v>345</v>
      </c>
      <c r="D84" t="s">
        <v>19</v>
      </c>
      <c r="E84" t="s">
        <v>20</v>
      </c>
      <c r="G84" t="s">
        <v>347</v>
      </c>
      <c r="L84" t="s">
        <v>334</v>
      </c>
      <c r="M84" t="s">
        <v>24</v>
      </c>
      <c r="N84" t="s">
        <v>25</v>
      </c>
      <c r="S84" s="11" t="s">
        <v>347</v>
      </c>
      <c r="T84" s="12" t="s">
        <v>344</v>
      </c>
      <c r="U84" s="12" t="s">
        <v>344</v>
      </c>
      <c r="V84" s="12" t="b">
        <v>1</v>
      </c>
      <c r="W84" s="12">
        <v>1.0226</v>
      </c>
      <c r="X84" s="12">
        <v>192.10599999999999</v>
      </c>
      <c r="Y84" s="12" t="s">
        <v>1030</v>
      </c>
      <c r="Z84" s="12" t="b">
        <v>1</v>
      </c>
      <c r="AA84" s="12">
        <v>1</v>
      </c>
      <c r="AB84" s="13" t="b">
        <v>1</v>
      </c>
    </row>
    <row r="85" spans="1:28">
      <c r="A85" t="s">
        <v>348</v>
      </c>
      <c r="B85" t="s">
        <v>349</v>
      </c>
      <c r="C85" t="s">
        <v>350</v>
      </c>
      <c r="D85" t="s">
        <v>127</v>
      </c>
      <c r="E85" t="s">
        <v>127</v>
      </c>
      <c r="G85" t="s">
        <v>352</v>
      </c>
      <c r="L85" t="s">
        <v>334</v>
      </c>
      <c r="M85" t="s">
        <v>24</v>
      </c>
      <c r="N85" t="s">
        <v>25</v>
      </c>
      <c r="S85" s="11" t="s">
        <v>352</v>
      </c>
      <c r="T85" s="12" t="s">
        <v>349</v>
      </c>
      <c r="U85" s="12" t="s">
        <v>349</v>
      </c>
      <c r="V85" s="12" t="b">
        <v>1</v>
      </c>
      <c r="W85" s="12">
        <v>1.1599999999999999</v>
      </c>
      <c r="X85" s="12">
        <v>464.28930000000003</v>
      </c>
      <c r="Y85" s="12" t="s">
        <v>1031</v>
      </c>
      <c r="Z85" s="12" t="b">
        <v>1</v>
      </c>
      <c r="AA85" s="12">
        <v>1</v>
      </c>
      <c r="AB85" s="13" t="b">
        <v>1</v>
      </c>
    </row>
    <row r="86" spans="1:28">
      <c r="A86" t="s">
        <v>353</v>
      </c>
      <c r="B86" t="s">
        <v>241</v>
      </c>
      <c r="C86" t="s">
        <v>242</v>
      </c>
      <c r="D86" t="s">
        <v>19</v>
      </c>
      <c r="E86" t="s">
        <v>20</v>
      </c>
      <c r="G86" t="s">
        <v>355</v>
      </c>
      <c r="L86" t="s">
        <v>334</v>
      </c>
      <c r="M86" t="s">
        <v>24</v>
      </c>
      <c r="N86" t="s">
        <v>31</v>
      </c>
      <c r="S86" s="11" t="s">
        <v>355</v>
      </c>
      <c r="T86" s="12" t="s">
        <v>241</v>
      </c>
      <c r="U86" s="12" t="s">
        <v>241</v>
      </c>
      <c r="V86" s="12" t="b">
        <v>1</v>
      </c>
      <c r="W86" s="12">
        <v>0.94679999999999997</v>
      </c>
      <c r="X86" s="12">
        <v>117.937</v>
      </c>
      <c r="Y86" s="12" t="s">
        <v>1032</v>
      </c>
      <c r="Z86" s="12" t="b">
        <v>1</v>
      </c>
      <c r="AA86" s="12">
        <v>1</v>
      </c>
      <c r="AB86" s="13" t="b">
        <v>1</v>
      </c>
    </row>
    <row r="87" spans="1:28" s="2" customFormat="1">
      <c r="A87" s="2" t="s">
        <v>356</v>
      </c>
      <c r="B87" s="2" t="s">
        <v>266</v>
      </c>
      <c r="C87" s="2" t="s">
        <v>357</v>
      </c>
      <c r="D87" s="2" t="s">
        <v>79</v>
      </c>
      <c r="E87" s="2" t="s">
        <v>20</v>
      </c>
      <c r="G87" s="2" t="s">
        <v>358</v>
      </c>
      <c r="L87" s="2" t="s">
        <v>334</v>
      </c>
      <c r="M87" s="2" t="s">
        <v>24</v>
      </c>
      <c r="N87" s="2" t="s">
        <v>49</v>
      </c>
      <c r="S87" s="11" t="s">
        <v>358</v>
      </c>
      <c r="T87" s="12" t="s">
        <v>266</v>
      </c>
      <c r="U87" s="12"/>
      <c r="V87" s="12" t="b">
        <v>0</v>
      </c>
      <c r="W87" s="12"/>
      <c r="X87" s="12"/>
      <c r="Y87" s="12" t="s">
        <v>1033</v>
      </c>
      <c r="Z87" s="12" t="b">
        <v>1</v>
      </c>
      <c r="AA87" s="12">
        <v>2</v>
      </c>
      <c r="AB87" s="13" t="b">
        <v>0</v>
      </c>
    </row>
    <row r="88" spans="1:28">
      <c r="A88" t="s">
        <v>359</v>
      </c>
      <c r="B88" t="s">
        <v>360</v>
      </c>
      <c r="C88" t="s">
        <v>361</v>
      </c>
      <c r="D88" t="s">
        <v>127</v>
      </c>
      <c r="E88" t="s">
        <v>127</v>
      </c>
      <c r="G88" t="s">
        <v>363</v>
      </c>
      <c r="L88" t="s">
        <v>334</v>
      </c>
      <c r="M88" t="s">
        <v>24</v>
      </c>
      <c r="N88" t="s">
        <v>25</v>
      </c>
      <c r="S88" s="11" t="s">
        <v>363</v>
      </c>
      <c r="T88" s="12" t="s">
        <v>360</v>
      </c>
      <c r="U88" s="12" t="s">
        <v>1034</v>
      </c>
      <c r="V88" s="12" t="b">
        <v>0</v>
      </c>
      <c r="W88" s="12">
        <v>0.98180000000000001</v>
      </c>
      <c r="X88" s="12">
        <v>147.76079999999999</v>
      </c>
      <c r="Y88" s="12" t="s">
        <v>1035</v>
      </c>
      <c r="Z88" s="12" t="b">
        <v>1</v>
      </c>
      <c r="AA88" s="12">
        <v>5</v>
      </c>
      <c r="AB88" s="13" t="b">
        <v>1</v>
      </c>
    </row>
    <row r="89" spans="1:28">
      <c r="A89" t="s">
        <v>364</v>
      </c>
      <c r="B89" t="s">
        <v>365</v>
      </c>
      <c r="C89" t="s">
        <v>366</v>
      </c>
      <c r="D89" t="s">
        <v>19</v>
      </c>
      <c r="E89" t="s">
        <v>20</v>
      </c>
      <c r="G89" t="s">
        <v>368</v>
      </c>
      <c r="L89" t="s">
        <v>334</v>
      </c>
      <c r="M89" t="s">
        <v>24</v>
      </c>
      <c r="N89" t="s">
        <v>25</v>
      </c>
      <c r="S89" s="11" t="s">
        <v>368</v>
      </c>
      <c r="T89" s="12" t="s">
        <v>365</v>
      </c>
      <c r="U89" s="12" t="s">
        <v>200</v>
      </c>
      <c r="V89" s="12" t="b">
        <v>0</v>
      </c>
      <c r="W89" s="12">
        <v>0.80730000000000002</v>
      </c>
      <c r="X89" s="12">
        <v>47.7029</v>
      </c>
      <c r="Y89" s="12" t="s">
        <v>1036</v>
      </c>
      <c r="Z89" s="12" t="b">
        <v>1</v>
      </c>
      <c r="AA89" s="12">
        <v>5</v>
      </c>
      <c r="AB89" s="13" t="b">
        <v>1</v>
      </c>
    </row>
    <row r="90" spans="1:28">
      <c r="A90" t="s">
        <v>37</v>
      </c>
      <c r="B90" t="s">
        <v>38</v>
      </c>
      <c r="C90" t="s">
        <v>369</v>
      </c>
      <c r="D90" t="s">
        <v>127</v>
      </c>
      <c r="E90" t="s">
        <v>127</v>
      </c>
      <c r="G90" t="s">
        <v>371</v>
      </c>
      <c r="L90" t="s">
        <v>372</v>
      </c>
      <c r="M90" t="s">
        <v>24</v>
      </c>
      <c r="N90" t="s">
        <v>31</v>
      </c>
      <c r="O90">
        <v>483</v>
      </c>
      <c r="P90">
        <v>487</v>
      </c>
      <c r="S90" s="11" t="s">
        <v>371</v>
      </c>
      <c r="T90" s="12" t="s">
        <v>38</v>
      </c>
      <c r="U90" s="12" t="s">
        <v>38</v>
      </c>
      <c r="V90" s="12" t="b">
        <v>1</v>
      </c>
      <c r="W90" s="12">
        <v>0.81559999999999999</v>
      </c>
      <c r="X90" s="12">
        <v>349.18340000000001</v>
      </c>
      <c r="Y90" s="12" t="s">
        <v>1037</v>
      </c>
      <c r="Z90" s="12" t="b">
        <v>1</v>
      </c>
      <c r="AA90" s="12">
        <v>1</v>
      </c>
      <c r="AB90" s="13" t="b">
        <v>1</v>
      </c>
    </row>
    <row r="91" spans="1:28">
      <c r="A91" t="s">
        <v>373</v>
      </c>
      <c r="B91" t="s">
        <v>271</v>
      </c>
      <c r="C91" t="s">
        <v>374</v>
      </c>
      <c r="D91" t="s">
        <v>127</v>
      </c>
      <c r="E91" t="s">
        <v>127</v>
      </c>
      <c r="G91" t="s">
        <v>375</v>
      </c>
      <c r="L91" t="s">
        <v>372</v>
      </c>
      <c r="M91" t="s">
        <v>24</v>
      </c>
      <c r="N91" t="s">
        <v>25</v>
      </c>
      <c r="O91">
        <v>483</v>
      </c>
      <c r="P91">
        <v>487</v>
      </c>
      <c r="S91" s="11" t="s">
        <v>375</v>
      </c>
      <c r="T91" s="12" t="s">
        <v>271</v>
      </c>
      <c r="U91" s="12" t="s">
        <v>271</v>
      </c>
      <c r="V91" s="12" t="b">
        <v>1</v>
      </c>
      <c r="W91" s="12">
        <v>1.1588000000000001</v>
      </c>
      <c r="X91" s="12">
        <v>460.84219999999999</v>
      </c>
      <c r="Y91" s="12" t="s">
        <v>271</v>
      </c>
      <c r="Z91" s="12" t="b">
        <v>1</v>
      </c>
      <c r="AA91" s="12">
        <v>1</v>
      </c>
      <c r="AB91" s="13" t="b">
        <v>1</v>
      </c>
    </row>
    <row r="92" spans="1:28">
      <c r="A92" t="s">
        <v>376</v>
      </c>
      <c r="B92" t="s">
        <v>377</v>
      </c>
      <c r="C92" t="s">
        <v>378</v>
      </c>
      <c r="D92" t="s">
        <v>379</v>
      </c>
      <c r="E92" t="s">
        <v>379</v>
      </c>
      <c r="G92" t="s">
        <v>381</v>
      </c>
      <c r="L92" t="s">
        <v>372</v>
      </c>
      <c r="M92" t="s">
        <v>24</v>
      </c>
      <c r="N92" t="s">
        <v>49</v>
      </c>
      <c r="O92">
        <v>483</v>
      </c>
      <c r="P92">
        <v>487</v>
      </c>
      <c r="S92" s="11" t="s">
        <v>381</v>
      </c>
      <c r="T92" s="12" t="s">
        <v>377</v>
      </c>
      <c r="U92" s="12" t="s">
        <v>377</v>
      </c>
      <c r="V92" s="12" t="b">
        <v>1</v>
      </c>
      <c r="W92" s="12">
        <v>0.76619999999999999</v>
      </c>
      <c r="X92" s="12">
        <v>36.450099999999999</v>
      </c>
      <c r="Y92" s="12" t="s">
        <v>1038</v>
      </c>
      <c r="Z92" s="12" t="b">
        <v>1</v>
      </c>
      <c r="AA92" s="12">
        <v>1</v>
      </c>
      <c r="AB92" s="13" t="b">
        <v>1</v>
      </c>
    </row>
    <row r="93" spans="1:28">
      <c r="A93" t="s">
        <v>382</v>
      </c>
      <c r="B93" t="s">
        <v>383</v>
      </c>
      <c r="C93" t="s">
        <v>384</v>
      </c>
      <c r="D93" t="s">
        <v>127</v>
      </c>
      <c r="E93" t="s">
        <v>127</v>
      </c>
      <c r="G93" t="s">
        <v>386</v>
      </c>
      <c r="L93" t="s">
        <v>372</v>
      </c>
      <c r="M93" t="s">
        <v>24</v>
      </c>
      <c r="N93" t="s">
        <v>31</v>
      </c>
      <c r="O93">
        <v>483</v>
      </c>
      <c r="P93">
        <v>487</v>
      </c>
      <c r="S93" s="11" t="s">
        <v>386</v>
      </c>
      <c r="T93" s="12" t="s">
        <v>383</v>
      </c>
      <c r="U93" s="12" t="s">
        <v>383</v>
      </c>
      <c r="V93" s="12" t="b">
        <v>1</v>
      </c>
      <c r="W93" s="12">
        <v>1.1755</v>
      </c>
      <c r="X93" s="12">
        <v>512.65679999999998</v>
      </c>
      <c r="Y93" s="12" t="s">
        <v>1039</v>
      </c>
      <c r="Z93" s="12" t="b">
        <v>1</v>
      </c>
      <c r="AA93" s="12">
        <v>1</v>
      </c>
      <c r="AB93" s="13" t="b">
        <v>1</v>
      </c>
    </row>
    <row r="94" spans="1:28">
      <c r="A94" t="s">
        <v>382</v>
      </c>
      <c r="B94" t="s">
        <v>383</v>
      </c>
      <c r="C94" t="s">
        <v>384</v>
      </c>
      <c r="D94" t="s">
        <v>127</v>
      </c>
      <c r="E94" t="s">
        <v>127</v>
      </c>
      <c r="G94" t="s">
        <v>387</v>
      </c>
      <c r="L94" t="s">
        <v>372</v>
      </c>
      <c r="M94" t="s">
        <v>24</v>
      </c>
      <c r="N94" t="s">
        <v>31</v>
      </c>
      <c r="O94">
        <v>483</v>
      </c>
      <c r="P94">
        <v>487</v>
      </c>
      <c r="S94" s="11" t="s">
        <v>387</v>
      </c>
      <c r="T94" s="12" t="s">
        <v>383</v>
      </c>
      <c r="U94" s="12" t="s">
        <v>383</v>
      </c>
      <c r="V94" s="12" t="b">
        <v>1</v>
      </c>
      <c r="W94" s="12">
        <v>1.1755</v>
      </c>
      <c r="X94" s="12">
        <v>512.65679999999998</v>
      </c>
      <c r="Y94" s="12" t="s">
        <v>1039</v>
      </c>
      <c r="Z94" s="12" t="b">
        <v>1</v>
      </c>
      <c r="AA94" s="12">
        <v>1</v>
      </c>
      <c r="AB94" s="13" t="b">
        <v>1</v>
      </c>
    </row>
    <row r="95" spans="1:28">
      <c r="A95" t="s">
        <v>388</v>
      </c>
      <c r="B95" t="s">
        <v>389</v>
      </c>
      <c r="C95" t="s">
        <v>390</v>
      </c>
      <c r="D95" t="s">
        <v>127</v>
      </c>
      <c r="E95" t="s">
        <v>127</v>
      </c>
      <c r="G95" t="s">
        <v>392</v>
      </c>
      <c r="L95" t="s">
        <v>372</v>
      </c>
      <c r="M95" t="s">
        <v>24</v>
      </c>
      <c r="N95" t="s">
        <v>25</v>
      </c>
      <c r="O95">
        <v>483</v>
      </c>
      <c r="P95">
        <v>487</v>
      </c>
      <c r="S95" s="11" t="s">
        <v>392</v>
      </c>
      <c r="T95" s="12" t="s">
        <v>389</v>
      </c>
      <c r="U95" s="12" t="s">
        <v>389</v>
      </c>
      <c r="V95" s="12" t="b">
        <v>1</v>
      </c>
      <c r="W95" s="12">
        <v>1.1183000000000001</v>
      </c>
      <c r="X95" s="12">
        <v>355.34890000000001</v>
      </c>
      <c r="Y95" s="12" t="s">
        <v>1040</v>
      </c>
      <c r="Z95" s="12" t="b">
        <v>1</v>
      </c>
      <c r="AA95" s="12">
        <v>1</v>
      </c>
      <c r="AB95" s="13" t="b">
        <v>1</v>
      </c>
    </row>
    <row r="96" spans="1:28">
      <c r="A96" t="s">
        <v>348</v>
      </c>
      <c r="B96" t="s">
        <v>349</v>
      </c>
      <c r="C96" t="s">
        <v>350</v>
      </c>
      <c r="D96" t="s">
        <v>127</v>
      </c>
      <c r="E96" t="s">
        <v>127</v>
      </c>
      <c r="G96" t="s">
        <v>352</v>
      </c>
      <c r="L96" t="s">
        <v>372</v>
      </c>
      <c r="M96" t="s">
        <v>24</v>
      </c>
      <c r="N96" t="s">
        <v>25</v>
      </c>
      <c r="O96">
        <v>483</v>
      </c>
      <c r="P96">
        <v>487</v>
      </c>
      <c r="S96" s="11" t="s">
        <v>352</v>
      </c>
      <c r="T96" s="12" t="s">
        <v>349</v>
      </c>
      <c r="U96" s="12" t="s">
        <v>349</v>
      </c>
      <c r="V96" s="12" t="b">
        <v>1</v>
      </c>
      <c r="W96" s="12">
        <v>1.1599999999999999</v>
      </c>
      <c r="X96" s="12">
        <v>464.28930000000003</v>
      </c>
      <c r="Y96" s="12" t="s">
        <v>1031</v>
      </c>
      <c r="Z96" s="12" t="b">
        <v>1</v>
      </c>
      <c r="AA96" s="12">
        <v>1</v>
      </c>
      <c r="AB96" s="13" t="b">
        <v>1</v>
      </c>
    </row>
    <row r="97" spans="1:28">
      <c r="A97" t="s">
        <v>393</v>
      </c>
      <c r="B97" t="s">
        <v>344</v>
      </c>
      <c r="C97" t="s">
        <v>394</v>
      </c>
      <c r="D97" t="s">
        <v>127</v>
      </c>
      <c r="E97" t="s">
        <v>127</v>
      </c>
      <c r="G97" t="s">
        <v>395</v>
      </c>
      <c r="L97" t="s">
        <v>372</v>
      </c>
      <c r="M97" t="s">
        <v>24</v>
      </c>
      <c r="N97" t="s">
        <v>25</v>
      </c>
      <c r="O97">
        <v>483</v>
      </c>
      <c r="P97">
        <v>487</v>
      </c>
      <c r="S97" s="11" t="s">
        <v>395</v>
      </c>
      <c r="T97" s="12" t="s">
        <v>344</v>
      </c>
      <c r="U97" s="12" t="s">
        <v>344</v>
      </c>
      <c r="V97" s="12" t="b">
        <v>1</v>
      </c>
      <c r="W97" s="12">
        <v>0.81789999999999996</v>
      </c>
      <c r="X97" s="12">
        <v>354.31740000000002</v>
      </c>
      <c r="Y97" s="12" t="s">
        <v>344</v>
      </c>
      <c r="Z97" s="12" t="b">
        <v>1</v>
      </c>
      <c r="AA97" s="12">
        <v>1</v>
      </c>
      <c r="AB97" s="13" t="b">
        <v>1</v>
      </c>
    </row>
    <row r="98" spans="1:28">
      <c r="A98" t="s">
        <v>396</v>
      </c>
      <c r="B98" t="s">
        <v>397</v>
      </c>
      <c r="C98" t="s">
        <v>398</v>
      </c>
      <c r="D98" t="s">
        <v>127</v>
      </c>
      <c r="E98" t="s">
        <v>127</v>
      </c>
      <c r="G98" t="s">
        <v>400</v>
      </c>
      <c r="L98" t="s">
        <v>372</v>
      </c>
      <c r="M98" t="s">
        <v>24</v>
      </c>
      <c r="N98" t="s">
        <v>25</v>
      </c>
      <c r="O98">
        <v>483</v>
      </c>
      <c r="P98">
        <v>487</v>
      </c>
      <c r="S98" s="11" t="s">
        <v>400</v>
      </c>
      <c r="T98" s="12" t="s">
        <v>397</v>
      </c>
      <c r="U98" s="12" t="s">
        <v>397</v>
      </c>
      <c r="V98" s="12" t="b">
        <v>1</v>
      </c>
      <c r="W98" s="12">
        <v>1.0125</v>
      </c>
      <c r="X98" s="12">
        <v>180.0411</v>
      </c>
      <c r="Y98" s="12" t="s">
        <v>397</v>
      </c>
      <c r="Z98" s="12" t="b">
        <v>1</v>
      </c>
      <c r="AA98" s="12">
        <v>1</v>
      </c>
      <c r="AB98" s="13" t="b">
        <v>1</v>
      </c>
    </row>
    <row r="99" spans="1:28">
      <c r="A99" t="s">
        <v>401</v>
      </c>
      <c r="B99" t="s">
        <v>397</v>
      </c>
      <c r="C99" t="s">
        <v>402</v>
      </c>
      <c r="D99" t="s">
        <v>379</v>
      </c>
      <c r="E99" t="s">
        <v>379</v>
      </c>
      <c r="G99" t="s">
        <v>403</v>
      </c>
      <c r="L99" t="s">
        <v>372</v>
      </c>
      <c r="M99" t="s">
        <v>24</v>
      </c>
      <c r="N99" t="s">
        <v>25</v>
      </c>
      <c r="O99">
        <v>483</v>
      </c>
      <c r="P99">
        <v>487</v>
      </c>
      <c r="S99" s="11" t="s">
        <v>403</v>
      </c>
      <c r="T99" s="12" t="s">
        <v>397</v>
      </c>
      <c r="U99" s="12" t="s">
        <v>397</v>
      </c>
      <c r="V99" s="12" t="b">
        <v>1</v>
      </c>
      <c r="W99" s="12">
        <v>1.0125</v>
      </c>
      <c r="X99" s="12">
        <v>180.0411</v>
      </c>
      <c r="Y99" s="12" t="s">
        <v>397</v>
      </c>
      <c r="Z99" s="12" t="b">
        <v>1</v>
      </c>
      <c r="AA99" s="12">
        <v>1</v>
      </c>
      <c r="AB99" s="13" t="b">
        <v>1</v>
      </c>
    </row>
    <row r="100" spans="1:28">
      <c r="A100" t="s">
        <v>404</v>
      </c>
      <c r="B100" t="s">
        <v>405</v>
      </c>
      <c r="C100" t="s">
        <v>406</v>
      </c>
      <c r="D100" t="s">
        <v>127</v>
      </c>
      <c r="E100" t="s">
        <v>127</v>
      </c>
      <c r="G100" t="s">
        <v>404</v>
      </c>
      <c r="L100" t="s">
        <v>372</v>
      </c>
      <c r="M100" t="s">
        <v>24</v>
      </c>
      <c r="N100" t="s">
        <v>25</v>
      </c>
      <c r="O100">
        <v>483</v>
      </c>
      <c r="P100">
        <v>487</v>
      </c>
      <c r="S100" s="11" t="s">
        <v>404</v>
      </c>
      <c r="T100" s="12" t="s">
        <v>405</v>
      </c>
      <c r="U100" s="12" t="s">
        <v>405</v>
      </c>
      <c r="V100" s="12" t="b">
        <v>1</v>
      </c>
      <c r="W100" s="12">
        <v>1.0589999999999999</v>
      </c>
      <c r="X100" s="12">
        <v>242.86799999999999</v>
      </c>
      <c r="Y100" s="12" t="s">
        <v>1041</v>
      </c>
      <c r="Z100" s="12" t="b">
        <v>1</v>
      </c>
      <c r="AA100" s="12">
        <v>1</v>
      </c>
      <c r="AB100" s="13" t="b">
        <v>1</v>
      </c>
    </row>
    <row r="101" spans="1:28">
      <c r="A101" t="s">
        <v>408</v>
      </c>
      <c r="B101" t="s">
        <v>405</v>
      </c>
      <c r="C101" t="s">
        <v>409</v>
      </c>
      <c r="D101" t="s">
        <v>379</v>
      </c>
      <c r="E101" t="s">
        <v>379</v>
      </c>
      <c r="G101" t="s">
        <v>408</v>
      </c>
      <c r="L101" t="s">
        <v>372</v>
      </c>
      <c r="M101" t="s">
        <v>24</v>
      </c>
      <c r="N101" t="s">
        <v>25</v>
      </c>
      <c r="O101">
        <v>483</v>
      </c>
      <c r="P101">
        <v>487</v>
      </c>
      <c r="S101" s="11" t="s">
        <v>408</v>
      </c>
      <c r="T101" s="12" t="s">
        <v>405</v>
      </c>
      <c r="U101" s="12" t="s">
        <v>405</v>
      </c>
      <c r="V101" s="12" t="b">
        <v>1</v>
      </c>
      <c r="W101" s="12">
        <v>1.0589999999999999</v>
      </c>
      <c r="X101" s="12">
        <v>242.86799999999999</v>
      </c>
      <c r="Y101" s="12" t="s">
        <v>1041</v>
      </c>
      <c r="Z101" s="12" t="b">
        <v>1</v>
      </c>
      <c r="AA101" s="12">
        <v>1</v>
      </c>
      <c r="AB101" s="13" t="b">
        <v>1</v>
      </c>
    </row>
    <row r="102" spans="1:28">
      <c r="A102" t="s">
        <v>410</v>
      </c>
      <c r="B102" t="s">
        <v>595</v>
      </c>
      <c r="C102" t="s">
        <v>411</v>
      </c>
      <c r="D102" t="s">
        <v>127</v>
      </c>
      <c r="E102" t="s">
        <v>127</v>
      </c>
      <c r="G102" t="s">
        <v>412</v>
      </c>
      <c r="L102" t="s">
        <v>372</v>
      </c>
      <c r="M102" t="s">
        <v>24</v>
      </c>
      <c r="N102" t="s">
        <v>31</v>
      </c>
      <c r="O102">
        <v>483</v>
      </c>
      <c r="P102">
        <v>487</v>
      </c>
      <c r="S102" s="11" t="s">
        <v>412</v>
      </c>
      <c r="T102" s="12" t="s">
        <v>410</v>
      </c>
      <c r="U102" s="12" t="s">
        <v>410</v>
      </c>
      <c r="V102" s="12" t="b">
        <v>1</v>
      </c>
      <c r="W102" s="12">
        <v>1.1418999999999999</v>
      </c>
      <c r="X102" s="12">
        <v>413.51949999999999</v>
      </c>
      <c r="Y102" s="12" t="s">
        <v>1042</v>
      </c>
      <c r="Z102" s="12" t="b">
        <v>1</v>
      </c>
      <c r="AA102" s="12">
        <v>1</v>
      </c>
      <c r="AB102" s="13" t="b">
        <v>1</v>
      </c>
    </row>
    <row r="103" spans="1:28">
      <c r="A103" t="s">
        <v>413</v>
      </c>
      <c r="B103" t="s">
        <v>331</v>
      </c>
      <c r="C103" t="s">
        <v>414</v>
      </c>
      <c r="D103" t="s">
        <v>127</v>
      </c>
      <c r="E103" t="s">
        <v>127</v>
      </c>
      <c r="G103" t="s">
        <v>415</v>
      </c>
      <c r="L103" t="s">
        <v>372</v>
      </c>
      <c r="M103" t="s">
        <v>24</v>
      </c>
      <c r="N103" t="s">
        <v>31</v>
      </c>
      <c r="O103">
        <v>483</v>
      </c>
      <c r="P103">
        <v>487</v>
      </c>
      <c r="S103" s="14" t="s">
        <v>415</v>
      </c>
      <c r="T103" s="15" t="s">
        <v>331</v>
      </c>
      <c r="U103" s="15" t="s">
        <v>331</v>
      </c>
      <c r="V103" s="15" t="b">
        <v>1</v>
      </c>
      <c r="W103" s="15">
        <v>0.83660000000000001</v>
      </c>
      <c r="X103" s="15">
        <v>399.62799999999999</v>
      </c>
      <c r="Y103" s="15" t="s">
        <v>331</v>
      </c>
      <c r="Z103" s="15" t="b">
        <v>1</v>
      </c>
      <c r="AA103" s="15">
        <v>1</v>
      </c>
      <c r="AB103" s="16" t="b">
        <v>1</v>
      </c>
    </row>
    <row r="104" spans="1:28">
      <c r="S104" s="14"/>
      <c r="T104" s="15"/>
      <c r="U104" s="15"/>
      <c r="V104" s="15"/>
      <c r="W104" s="15"/>
      <c r="X104" s="15"/>
      <c r="Y104" s="15"/>
      <c r="Z104" s="15"/>
      <c r="AA104" s="15"/>
      <c r="AB104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E612-B831-4DFF-B4BD-4E14D20E8F9D}">
  <dimension ref="A1:AM111"/>
  <sheetViews>
    <sheetView topLeftCell="Y1" workbookViewId="0">
      <selection activeCell="AE28" sqref="AE28"/>
    </sheetView>
  </sheetViews>
  <sheetFormatPr defaultRowHeight="15"/>
  <cols>
    <col min="1" max="1" width="23.28515625" customWidth="1"/>
    <col min="2" max="2" width="16.140625" customWidth="1"/>
    <col min="3" max="3" width="17.42578125" customWidth="1"/>
    <col min="4" max="4" width="13.7109375" customWidth="1"/>
    <col min="5" max="5" width="11.140625" customWidth="1"/>
    <col min="12" max="12" width="16" bestFit="1" customWidth="1"/>
    <col min="15" max="16" width="16.28515625" customWidth="1"/>
    <col min="17" max="17" width="20.85546875" customWidth="1"/>
    <col min="18" max="18" width="23.140625" customWidth="1"/>
    <col min="21" max="21" width="9.28515625" customWidth="1"/>
    <col min="22" max="22" width="23" customWidth="1"/>
    <col min="23" max="23" width="21.42578125" customWidth="1"/>
    <col min="24" max="24" width="10.140625" customWidth="1"/>
    <col min="26" max="26" width="11.42578125" customWidth="1"/>
    <col min="30" max="30" width="12" customWidth="1"/>
    <col min="31" max="31" width="29.140625" customWidth="1"/>
    <col min="33" max="33" width="14.85546875" customWidth="1"/>
    <col min="34" max="34" width="9.42578125" customWidth="1"/>
    <col min="35" max="35" width="15.140625" customWidth="1"/>
    <col min="36" max="36" width="12.5703125" customWidth="1"/>
  </cols>
  <sheetData>
    <row r="1" spans="1:39">
      <c r="AF1" t="s">
        <v>1101</v>
      </c>
      <c r="AL1" t="s">
        <v>31</v>
      </c>
    </row>
    <row r="2" spans="1:39">
      <c r="AF2" t="str" cm="1">
        <f t="array" ref="AF2:AF8">_xlfn.UNIQUE(L16:L507)</f>
        <v>us bank cashfile</v>
      </c>
      <c r="AH2">
        <f>COUNTIFS($N$16:$N$500,"Company Match", L$16:L$500, AF2)</f>
        <v>14</v>
      </c>
      <c r="AI2">
        <f>COUNTIFS($N$16:$N$507,"Company Match", L$16:L$507, AF2, S$16:S$507, TRUE)</f>
        <v>12</v>
      </c>
      <c r="AJ2" s="21">
        <f>AI2/AH2</f>
        <v>0.8571428571428571</v>
      </c>
      <c r="AL2">
        <f>COUNTIFS($N$16:$N$500,"Security Match", L$16:L$500, AF2)</f>
        <v>12</v>
      </c>
      <c r="AM2">
        <f>COUNTIFS($N$16:$N$507,"Security Match", L$16:L$507, AF2, S$16:S$507, TRUE)</f>
        <v>12</v>
      </c>
    </row>
    <row r="3" spans="1:39">
      <c r="AF3" t="str">
        <v>watc_holdings</v>
      </c>
      <c r="AH3">
        <f t="shared" ref="AH3:AH7" si="0">COUNTIFS($N$16:$N$500,"Company Match", L$16:L$500, AF3)</f>
        <v>7</v>
      </c>
      <c r="AI3">
        <f>COUNTIFS($N$16:$N$507,"Company Match", L$16:L$507, AF3, S$16:S$507, TRUE)</f>
        <v>7</v>
      </c>
      <c r="AJ3" s="21">
        <f t="shared" ref="AJ3:AJ7" si="1">AI3/AH3</f>
        <v>1</v>
      </c>
      <c r="AL3">
        <f t="shared" ref="AL3:AL7" si="2">COUNTIFS($N$16:$N$500,"Security Match", L$16:L$500, AF3)</f>
        <v>5</v>
      </c>
      <c r="AM3">
        <f t="shared" ref="AM3:AM7" si="3">COUNTIFS($N$16:$N$507,"Security Match", L$16:L$507, AF3, S$16:S$507, TRUE)</f>
        <v>5</v>
      </c>
    </row>
    <row r="4" spans="1:39">
      <c r="AF4" t="str">
        <v>market_value</v>
      </c>
      <c r="AH4">
        <f t="shared" si="0"/>
        <v>8</v>
      </c>
      <c r="AI4">
        <f>COUNTIFS($N$16:$N$507,"Company Match", L$16:L$507, AF4, S$16:S$507, TRUE)</f>
        <v>8</v>
      </c>
      <c r="AJ4" s="21">
        <f t="shared" si="1"/>
        <v>1</v>
      </c>
      <c r="AL4">
        <f t="shared" si="2"/>
        <v>5</v>
      </c>
      <c r="AM4">
        <f t="shared" si="3"/>
        <v>5</v>
      </c>
    </row>
    <row r="5" spans="1:39">
      <c r="AF5" t="str">
        <v>master_ratings</v>
      </c>
      <c r="AH5">
        <f t="shared" si="0"/>
        <v>9</v>
      </c>
      <c r="AI5">
        <f>COUNTIFS($N$16:$N$507,"Company Match", L$16:L$507, AF5, S$16:S$507, TRUE)</f>
        <v>9</v>
      </c>
      <c r="AJ5" s="21">
        <f t="shared" si="1"/>
        <v>1</v>
      </c>
      <c r="AL5">
        <f t="shared" si="2"/>
        <v>0</v>
      </c>
      <c r="AM5">
        <f t="shared" si="3"/>
        <v>0</v>
      </c>
    </row>
    <row r="6" spans="1:39">
      <c r="AF6" t="str">
        <v>consolidated_soi</v>
      </c>
      <c r="AH6">
        <f t="shared" si="0"/>
        <v>4</v>
      </c>
      <c r="AI6">
        <f>COUNTIFS($N$16:$N$507,"Company Match", L$16:L$507, AF6, S$16:S$507, TRUE)</f>
        <v>3</v>
      </c>
      <c r="AJ6" s="21">
        <f t="shared" si="1"/>
        <v>0.75</v>
      </c>
      <c r="AL6">
        <f t="shared" si="2"/>
        <v>4</v>
      </c>
      <c r="AM6">
        <f t="shared" si="3"/>
        <v>4</v>
      </c>
    </row>
    <row r="7" spans="1:39">
      <c r="AF7" t="str">
        <v>daily_long_short</v>
      </c>
      <c r="AH7">
        <f t="shared" si="0"/>
        <v>8</v>
      </c>
      <c r="AI7">
        <f>COUNTIFS($N$16:$N$507,"Company Match", L$16:L$507, AF7, S$16:S$507, TRUE)</f>
        <v>8</v>
      </c>
      <c r="AJ7" s="21">
        <f t="shared" si="1"/>
        <v>1</v>
      </c>
      <c r="AL7">
        <f t="shared" si="2"/>
        <v>5</v>
      </c>
      <c r="AM7">
        <f t="shared" si="3"/>
        <v>5</v>
      </c>
    </row>
    <row r="8" spans="1:39">
      <c r="AF8">
        <v>0</v>
      </c>
    </row>
    <row r="10" spans="1:39">
      <c r="AE10" s="25" t="s">
        <v>981</v>
      </c>
      <c r="AF10" s="25" t="s">
        <v>982</v>
      </c>
      <c r="AG10" s="25" t="s">
        <v>1102</v>
      </c>
      <c r="AH10" s="25" t="s">
        <v>984</v>
      </c>
      <c r="AI10" s="25" t="s">
        <v>1103</v>
      </c>
      <c r="AJ10" s="25" t="s">
        <v>984</v>
      </c>
    </row>
    <row r="11" spans="1:39">
      <c r="AE11" s="26" t="s">
        <v>25</v>
      </c>
      <c r="AF11" s="28">
        <f>COUNTIF($N$16:$N$111,"Company Match")</f>
        <v>50</v>
      </c>
      <c r="AG11" s="28">
        <f>COUNTIFS($N$16:$N$111,"Company Match",$S$16:$S$111,TRUE)</f>
        <v>47</v>
      </c>
      <c r="AH11" s="29">
        <f>IF(AF11&gt;0,AG11/AF11,0)</f>
        <v>0.94</v>
      </c>
      <c r="AI11" s="28">
        <f>COUNTIFS($N$16:$N$127,"Company Match",$X$16:$X$127,TRUE)</f>
        <v>37</v>
      </c>
      <c r="AJ11" s="29">
        <f>IF(AF11&gt;0,AI11/AF11,0)</f>
        <v>0.74</v>
      </c>
    </row>
    <row r="12" spans="1:39">
      <c r="AE12" s="26" t="s">
        <v>31</v>
      </c>
      <c r="AF12" s="28">
        <f>COUNTIF($N$16:$N$111,"Security Match")</f>
        <v>31</v>
      </c>
      <c r="AG12" s="28">
        <f>COUNTIFS($N$16:$N$111,"Security Match",$S$16:$S$111,TRUE)</f>
        <v>31</v>
      </c>
      <c r="AH12" s="29">
        <f>IF(AF12&gt;0,AG12/AF12,0)</f>
        <v>1</v>
      </c>
      <c r="AI12" s="28">
        <f>COUNTIFS($N$16:$N$127,"Security Match",$X$16:$X$127,TRUE)</f>
        <v>24</v>
      </c>
      <c r="AJ12" s="29">
        <f>IF(AF12&gt;0,AI12/AF12,0)</f>
        <v>0.77419354838709675</v>
      </c>
    </row>
    <row r="13" spans="1:39">
      <c r="AE13" s="27" t="s">
        <v>985</v>
      </c>
      <c r="AF13" s="30">
        <f>SUM(AF11:AF12)</f>
        <v>81</v>
      </c>
      <c r="AG13" s="30">
        <f>SUM(AG11:AG12)</f>
        <v>78</v>
      </c>
      <c r="AH13" s="31">
        <f>IF(AF13&gt;0,AG13/AF13,0)</f>
        <v>0.96296296296296291</v>
      </c>
      <c r="AI13" s="30">
        <f>SUM(AI11:AI12)</f>
        <v>61</v>
      </c>
      <c r="AJ13" s="31">
        <f>IF(AF13&gt;0,AI13/AF13,0)</f>
        <v>0.75308641975308643</v>
      </c>
    </row>
    <row r="14" spans="1:39">
      <c r="AE14" s="26" t="s">
        <v>49</v>
      </c>
      <c r="AF14" s="28">
        <f>COUNTIF($N$16:$N$127,"Company Knowledge Match")</f>
        <v>15</v>
      </c>
      <c r="AG14" s="28">
        <f>COUNTIFS($N$16:$N$127,"Company Knowledge Match",$S$16:$S$127,TRUE)</f>
        <v>6</v>
      </c>
      <c r="AH14" s="29">
        <f>IF(AF14&gt;0,AG14/AF14,0)</f>
        <v>0.4</v>
      </c>
      <c r="AI14" s="28">
        <f>COUNTIFS($N$16:$N$127,"Company Knowledge Match",$X$16:$X$127,TRUE)</f>
        <v>4</v>
      </c>
      <c r="AJ14" s="29">
        <f>IF(AF14&gt;0,AI14/AF14,0)</f>
        <v>0.26666666666666666</v>
      </c>
    </row>
    <row r="15" spans="1:39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9" t="s">
        <v>698</v>
      </c>
      <c r="Q15" s="20" t="s">
        <v>878</v>
      </c>
      <c r="R15" s="20" t="s">
        <v>879</v>
      </c>
      <c r="S15" s="20" t="s">
        <v>880</v>
      </c>
      <c r="T15" s="20" t="s">
        <v>882</v>
      </c>
      <c r="U15" s="20" t="s">
        <v>883</v>
      </c>
      <c r="V15" s="20" t="s">
        <v>1104</v>
      </c>
      <c r="W15" s="20" t="s">
        <v>1105</v>
      </c>
      <c r="X15" s="20" t="s">
        <v>1106</v>
      </c>
      <c r="Y15" s="20" t="s">
        <v>1107</v>
      </c>
      <c r="Z15" s="20" t="s">
        <v>1108</v>
      </c>
      <c r="AA15" s="20" t="s">
        <v>1109</v>
      </c>
      <c r="AB15" s="20" t="s">
        <v>1110</v>
      </c>
      <c r="AC15" s="20" t="s">
        <v>1111</v>
      </c>
      <c r="AD15" s="20" t="s">
        <v>705</v>
      </c>
    </row>
    <row r="16" spans="1:39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16</v>
      </c>
      <c r="G16" t="s">
        <v>21</v>
      </c>
      <c r="H16" t="s">
        <v>22</v>
      </c>
      <c r="L16" t="s">
        <v>23</v>
      </c>
      <c r="M16" t="s">
        <v>24</v>
      </c>
      <c r="N16" t="s">
        <v>25</v>
      </c>
      <c r="P16" s="11" t="s">
        <v>1112</v>
      </c>
      <c r="Q16" s="12" t="s">
        <v>17</v>
      </c>
      <c r="R16" s="12" t="s">
        <v>884</v>
      </c>
      <c r="S16" s="12" t="b">
        <v>0</v>
      </c>
      <c r="T16" s="12" t="b">
        <v>1</v>
      </c>
      <c r="U16" s="12">
        <v>2</v>
      </c>
      <c r="V16" s="12" t="s">
        <v>18</v>
      </c>
      <c r="W16" s="12" t="s">
        <v>1113</v>
      </c>
      <c r="X16" s="12" t="b">
        <v>0</v>
      </c>
      <c r="Y16" s="12" t="b">
        <v>0</v>
      </c>
      <c r="Z16" s="12"/>
      <c r="AA16" s="12">
        <v>0.79220000000000002</v>
      </c>
      <c r="AB16" s="12" t="s">
        <v>1114</v>
      </c>
      <c r="AC16" s="12" t="s">
        <v>1115</v>
      </c>
      <c r="AD16" s="13" t="b">
        <v>1</v>
      </c>
    </row>
    <row r="17" spans="1:30">
      <c r="A17" t="s">
        <v>26</v>
      </c>
      <c r="B17" t="s">
        <v>27</v>
      </c>
      <c r="C17" t="s">
        <v>28</v>
      </c>
      <c r="D17" t="s">
        <v>19</v>
      </c>
      <c r="E17" t="s">
        <v>20</v>
      </c>
      <c r="F17" t="s">
        <v>29</v>
      </c>
      <c r="G17" t="s">
        <v>30</v>
      </c>
      <c r="L17" t="s">
        <v>23</v>
      </c>
      <c r="M17" t="s">
        <v>24</v>
      </c>
      <c r="N17" t="s">
        <v>31</v>
      </c>
      <c r="P17" s="11" t="s">
        <v>29</v>
      </c>
      <c r="Q17" s="12" t="s">
        <v>27</v>
      </c>
      <c r="R17" s="12" t="s">
        <v>27</v>
      </c>
      <c r="S17" s="12" t="b">
        <v>1</v>
      </c>
      <c r="T17" s="12" t="b">
        <v>1</v>
      </c>
      <c r="U17" s="12">
        <v>1</v>
      </c>
      <c r="V17" s="12" t="s">
        <v>28</v>
      </c>
      <c r="W17" s="12" t="s">
        <v>181</v>
      </c>
      <c r="X17" s="12" t="b">
        <v>0</v>
      </c>
      <c r="Y17" s="12" t="b">
        <v>1</v>
      </c>
      <c r="Z17" s="12">
        <v>2</v>
      </c>
      <c r="AA17" s="12">
        <v>0.97519999999999996</v>
      </c>
      <c r="AB17" s="12" t="s">
        <v>987</v>
      </c>
      <c r="AC17" s="12" t="s">
        <v>1116</v>
      </c>
      <c r="AD17" s="13" t="b">
        <v>1</v>
      </c>
    </row>
    <row r="18" spans="1:30">
      <c r="A18" t="s">
        <v>32</v>
      </c>
      <c r="B18" t="s">
        <v>33</v>
      </c>
      <c r="C18" t="s">
        <v>34</v>
      </c>
      <c r="D18" t="s">
        <v>19</v>
      </c>
      <c r="E18" t="s">
        <v>20</v>
      </c>
      <c r="F18" t="s">
        <v>32</v>
      </c>
      <c r="G18" t="s">
        <v>35</v>
      </c>
      <c r="H18" t="s">
        <v>22</v>
      </c>
      <c r="I18" t="s">
        <v>36</v>
      </c>
      <c r="L18" t="s">
        <v>23</v>
      </c>
      <c r="M18" t="s">
        <v>24</v>
      </c>
      <c r="N18" t="s">
        <v>31</v>
      </c>
      <c r="P18" s="11" t="s">
        <v>1117</v>
      </c>
      <c r="Q18" s="12" t="s">
        <v>33</v>
      </c>
      <c r="R18" s="12" t="s">
        <v>33</v>
      </c>
      <c r="S18" s="12" t="b">
        <v>1</v>
      </c>
      <c r="T18" s="12" t="b">
        <v>1</v>
      </c>
      <c r="U18" s="12">
        <v>1</v>
      </c>
      <c r="V18" s="12" t="s">
        <v>34</v>
      </c>
      <c r="W18" s="12" t="s">
        <v>34</v>
      </c>
      <c r="X18" s="12" t="b">
        <v>1</v>
      </c>
      <c r="Y18" s="12" t="b">
        <v>1</v>
      </c>
      <c r="Z18" s="12">
        <v>1</v>
      </c>
      <c r="AA18" s="12">
        <v>0.75409999999999999</v>
      </c>
      <c r="AB18" s="12" t="s">
        <v>1118</v>
      </c>
      <c r="AC18" s="12" t="s">
        <v>1119</v>
      </c>
      <c r="AD18" s="13" t="b">
        <v>1</v>
      </c>
    </row>
    <row r="19" spans="1:30">
      <c r="A19" t="s">
        <v>37</v>
      </c>
      <c r="B19" t="s">
        <v>38</v>
      </c>
      <c r="C19" t="s">
        <v>39</v>
      </c>
      <c r="D19" t="s">
        <v>19</v>
      </c>
      <c r="E19" t="s">
        <v>20</v>
      </c>
      <c r="F19" t="s">
        <v>37</v>
      </c>
      <c r="G19" t="s">
        <v>40</v>
      </c>
      <c r="H19" t="s">
        <v>22</v>
      </c>
      <c r="L19" t="s">
        <v>23</v>
      </c>
      <c r="M19" t="s">
        <v>24</v>
      </c>
      <c r="N19" t="s">
        <v>31</v>
      </c>
      <c r="P19" s="11" t="s">
        <v>1120</v>
      </c>
      <c r="Q19" s="12" t="s">
        <v>38</v>
      </c>
      <c r="R19" s="12" t="s">
        <v>38</v>
      </c>
      <c r="S19" s="12" t="b">
        <v>1</v>
      </c>
      <c r="T19" s="12" t="b">
        <v>1</v>
      </c>
      <c r="U19" s="12">
        <v>1</v>
      </c>
      <c r="V19" s="12" t="s">
        <v>39</v>
      </c>
      <c r="W19" s="12" t="s">
        <v>39</v>
      </c>
      <c r="X19" s="12" t="b">
        <v>1</v>
      </c>
      <c r="Y19" s="12" t="b">
        <v>1</v>
      </c>
      <c r="Z19" s="12">
        <v>1</v>
      </c>
      <c r="AA19" s="12">
        <v>0.9163</v>
      </c>
      <c r="AB19" s="12" t="s">
        <v>1121</v>
      </c>
      <c r="AC19" s="12" t="s">
        <v>1122</v>
      </c>
      <c r="AD19" s="13" t="b">
        <v>1</v>
      </c>
    </row>
    <row r="20" spans="1:30">
      <c r="A20" t="s">
        <v>41</v>
      </c>
      <c r="B20" t="s">
        <v>42</v>
      </c>
      <c r="C20" t="s">
        <v>43</v>
      </c>
      <c r="D20" t="s">
        <v>44</v>
      </c>
      <c r="E20" t="s">
        <v>20</v>
      </c>
      <c r="F20" t="s">
        <v>45</v>
      </c>
      <c r="G20" t="s">
        <v>46</v>
      </c>
      <c r="H20" t="s">
        <v>47</v>
      </c>
      <c r="I20" t="s">
        <v>48</v>
      </c>
      <c r="L20" t="s">
        <v>23</v>
      </c>
      <c r="M20" t="s">
        <v>24</v>
      </c>
      <c r="N20" t="s">
        <v>49</v>
      </c>
      <c r="P20" s="11" t="s">
        <v>1123</v>
      </c>
      <c r="Q20" s="12" t="s">
        <v>42</v>
      </c>
      <c r="R20" s="12"/>
      <c r="S20" s="12" t="b">
        <v>0</v>
      </c>
      <c r="T20" s="12" t="b">
        <v>0</v>
      </c>
      <c r="U20" s="12"/>
      <c r="V20" s="12" t="s">
        <v>43</v>
      </c>
      <c r="W20" s="12" t="s">
        <v>215</v>
      </c>
      <c r="X20" s="12" t="b">
        <v>0</v>
      </c>
      <c r="Y20" s="12" t="b">
        <v>0</v>
      </c>
      <c r="Z20" s="12"/>
      <c r="AA20" s="12">
        <v>0.69840000000000002</v>
      </c>
      <c r="AB20" s="12" t="s">
        <v>1124</v>
      </c>
      <c r="AC20" s="12" t="s">
        <v>1125</v>
      </c>
      <c r="AD20" s="13" t="b">
        <v>1</v>
      </c>
    </row>
    <row r="21" spans="1:30">
      <c r="A21" t="s">
        <v>41</v>
      </c>
      <c r="B21" t="s">
        <v>42</v>
      </c>
      <c r="C21" t="s">
        <v>50</v>
      </c>
      <c r="D21" t="s">
        <v>19</v>
      </c>
      <c r="E21" t="s">
        <v>20</v>
      </c>
      <c r="F21" t="s">
        <v>45</v>
      </c>
      <c r="G21" t="s">
        <v>51</v>
      </c>
      <c r="H21" t="s">
        <v>22</v>
      </c>
      <c r="I21" t="s">
        <v>52</v>
      </c>
      <c r="L21" t="s">
        <v>23</v>
      </c>
      <c r="M21" t="s">
        <v>24</v>
      </c>
      <c r="N21" t="s">
        <v>49</v>
      </c>
      <c r="P21" s="11" t="s">
        <v>1126</v>
      </c>
      <c r="Q21" s="12" t="s">
        <v>42</v>
      </c>
      <c r="R21" s="12" t="s">
        <v>42</v>
      </c>
      <c r="S21" s="12" t="b">
        <v>1</v>
      </c>
      <c r="T21" s="12" t="b">
        <v>1</v>
      </c>
      <c r="U21" s="12">
        <v>1</v>
      </c>
      <c r="V21" s="12" t="s">
        <v>50</v>
      </c>
      <c r="W21" s="12" t="s">
        <v>43</v>
      </c>
      <c r="X21" s="12" t="b">
        <v>0</v>
      </c>
      <c r="Y21" s="12" t="b">
        <v>1</v>
      </c>
      <c r="Z21" s="12">
        <v>2</v>
      </c>
      <c r="AA21" s="12">
        <v>0.81059999999999999</v>
      </c>
      <c r="AB21" s="12" t="s">
        <v>1127</v>
      </c>
      <c r="AC21" s="12" t="s">
        <v>1128</v>
      </c>
      <c r="AD21" s="13" t="b">
        <v>1</v>
      </c>
    </row>
    <row r="22" spans="1:30">
      <c r="A22" t="s">
        <v>53</v>
      </c>
      <c r="B22" t="s">
        <v>54</v>
      </c>
      <c r="C22" t="s">
        <v>55</v>
      </c>
      <c r="D22" t="s">
        <v>19</v>
      </c>
      <c r="E22" t="s">
        <v>20</v>
      </c>
      <c r="F22" t="s">
        <v>53</v>
      </c>
      <c r="G22" t="s">
        <v>56</v>
      </c>
      <c r="H22" t="s">
        <v>22</v>
      </c>
      <c r="I22" t="s">
        <v>57</v>
      </c>
      <c r="L22" t="s">
        <v>23</v>
      </c>
      <c r="M22" t="s">
        <v>24</v>
      </c>
      <c r="N22" t="s">
        <v>25</v>
      </c>
      <c r="P22" s="11" t="s">
        <v>1129</v>
      </c>
      <c r="Q22" s="12" t="s">
        <v>54</v>
      </c>
      <c r="R22" s="12" t="s">
        <v>54</v>
      </c>
      <c r="S22" s="12" t="b">
        <v>1</v>
      </c>
      <c r="T22" s="12" t="b">
        <v>1</v>
      </c>
      <c r="U22" s="12">
        <v>1</v>
      </c>
      <c r="V22" s="12" t="s">
        <v>55</v>
      </c>
      <c r="W22" s="12" t="s">
        <v>55</v>
      </c>
      <c r="X22" s="12" t="b">
        <v>1</v>
      </c>
      <c r="Y22" s="12" t="b">
        <v>1</v>
      </c>
      <c r="Z22" s="12">
        <v>1</v>
      </c>
      <c r="AA22" s="12">
        <v>0.82809999999999995</v>
      </c>
      <c r="AB22" s="12" t="s">
        <v>1130</v>
      </c>
      <c r="AC22" s="12" t="s">
        <v>1131</v>
      </c>
      <c r="AD22" s="13" t="b">
        <v>1</v>
      </c>
    </row>
    <row r="23" spans="1:30">
      <c r="A23" t="s">
        <v>58</v>
      </c>
      <c r="B23" t="s">
        <v>59</v>
      </c>
      <c r="C23" t="s">
        <v>60</v>
      </c>
      <c r="D23" t="s">
        <v>44</v>
      </c>
      <c r="E23" t="s">
        <v>20</v>
      </c>
      <c r="F23" t="s">
        <v>1132</v>
      </c>
      <c r="G23" t="s">
        <v>62</v>
      </c>
      <c r="H23" t="s">
        <v>47</v>
      </c>
      <c r="L23" t="s">
        <v>23</v>
      </c>
      <c r="M23" t="s">
        <v>24</v>
      </c>
      <c r="N23" t="s">
        <v>25</v>
      </c>
      <c r="P23" s="11" t="s">
        <v>1133</v>
      </c>
      <c r="Q23" s="12" t="s">
        <v>59</v>
      </c>
      <c r="R23" s="12"/>
      <c r="S23" s="12" t="b">
        <v>0</v>
      </c>
      <c r="T23" s="12" t="b">
        <v>1</v>
      </c>
      <c r="U23" s="12">
        <v>3</v>
      </c>
      <c r="V23" s="12" t="s">
        <v>60</v>
      </c>
      <c r="W23" s="12" t="s">
        <v>215</v>
      </c>
      <c r="X23" s="12" t="b">
        <v>0</v>
      </c>
      <c r="Y23" s="12" t="b">
        <v>0</v>
      </c>
      <c r="Z23" s="12"/>
      <c r="AA23" s="12">
        <v>0.69840000000000002</v>
      </c>
      <c r="AB23" s="12" t="s">
        <v>1134</v>
      </c>
      <c r="AC23" s="12" t="s">
        <v>1125</v>
      </c>
      <c r="AD23" s="13" t="b">
        <v>1</v>
      </c>
    </row>
    <row r="24" spans="1:30">
      <c r="A24" t="s">
        <v>63</v>
      </c>
      <c r="B24" t="s">
        <v>64</v>
      </c>
      <c r="C24" t="s">
        <v>65</v>
      </c>
      <c r="D24" t="s">
        <v>19</v>
      </c>
      <c r="E24" t="s">
        <v>20</v>
      </c>
      <c r="F24" t="s">
        <v>66</v>
      </c>
      <c r="G24" t="s">
        <v>67</v>
      </c>
      <c r="H24" t="s">
        <v>22</v>
      </c>
      <c r="L24" t="s">
        <v>23</v>
      </c>
      <c r="M24" t="s">
        <v>24</v>
      </c>
      <c r="N24" t="s">
        <v>31</v>
      </c>
      <c r="P24" s="11" t="s">
        <v>1135</v>
      </c>
      <c r="Q24" s="12" t="s">
        <v>64</v>
      </c>
      <c r="R24" s="12" t="s">
        <v>64</v>
      </c>
      <c r="S24" s="12" t="b">
        <v>1</v>
      </c>
      <c r="T24" s="12" t="b">
        <v>1</v>
      </c>
      <c r="U24" s="12">
        <v>1</v>
      </c>
      <c r="V24" s="12" t="s">
        <v>65</v>
      </c>
      <c r="W24" s="12" t="s">
        <v>65</v>
      </c>
      <c r="X24" s="12" t="b">
        <v>1</v>
      </c>
      <c r="Y24" s="12" t="b">
        <v>1</v>
      </c>
      <c r="Z24" s="12">
        <v>1</v>
      </c>
      <c r="AA24" s="12">
        <v>0.91</v>
      </c>
      <c r="AB24" s="12" t="s">
        <v>1136</v>
      </c>
      <c r="AC24" s="12" t="s">
        <v>1137</v>
      </c>
      <c r="AD24" s="13" t="b">
        <v>1</v>
      </c>
    </row>
    <row r="25" spans="1:30">
      <c r="A25" t="s">
        <v>68</v>
      </c>
      <c r="B25" t="s">
        <v>69</v>
      </c>
      <c r="C25" t="s">
        <v>70</v>
      </c>
      <c r="D25" t="s">
        <v>19</v>
      </c>
      <c r="E25" t="s">
        <v>20</v>
      </c>
      <c r="F25" t="s">
        <v>71</v>
      </c>
      <c r="G25" t="s">
        <v>72</v>
      </c>
      <c r="H25" t="s">
        <v>22</v>
      </c>
      <c r="I25" t="s">
        <v>73</v>
      </c>
      <c r="L25" t="s">
        <v>23</v>
      </c>
      <c r="M25" t="s">
        <v>24</v>
      </c>
      <c r="N25" t="s">
        <v>25</v>
      </c>
      <c r="P25" s="11" t="s">
        <v>1138</v>
      </c>
      <c r="Q25" s="12" t="s">
        <v>69</v>
      </c>
      <c r="R25" s="12" t="s">
        <v>69</v>
      </c>
      <c r="S25" s="12" t="b">
        <v>1</v>
      </c>
      <c r="T25" s="12" t="b">
        <v>1</v>
      </c>
      <c r="U25" s="12">
        <v>1</v>
      </c>
      <c r="V25" s="12" t="s">
        <v>70</v>
      </c>
      <c r="W25" s="12" t="s">
        <v>70</v>
      </c>
      <c r="X25" s="12" t="b">
        <v>1</v>
      </c>
      <c r="Y25" s="12" t="b">
        <v>1</v>
      </c>
      <c r="Z25" s="12">
        <v>1</v>
      </c>
      <c r="AA25" s="12">
        <v>0.79859999999999998</v>
      </c>
      <c r="AB25" s="12" t="s">
        <v>1139</v>
      </c>
      <c r="AC25" s="12" t="s">
        <v>70</v>
      </c>
      <c r="AD25" s="13" t="b">
        <v>1</v>
      </c>
    </row>
    <row r="26" spans="1:30">
      <c r="A26" t="s">
        <v>68</v>
      </c>
      <c r="B26" t="s">
        <v>69</v>
      </c>
      <c r="C26" t="s">
        <v>70</v>
      </c>
      <c r="D26" t="s">
        <v>19</v>
      </c>
      <c r="E26" t="s">
        <v>20</v>
      </c>
      <c r="F26" t="s">
        <v>74</v>
      </c>
      <c r="G26" t="s">
        <v>75</v>
      </c>
      <c r="H26" t="s">
        <v>22</v>
      </c>
      <c r="I26" t="s">
        <v>73</v>
      </c>
      <c r="L26" t="s">
        <v>23</v>
      </c>
      <c r="M26" t="s">
        <v>24</v>
      </c>
      <c r="N26" t="s">
        <v>31</v>
      </c>
      <c r="P26" s="11" t="s">
        <v>1140</v>
      </c>
      <c r="Q26" s="12" t="s">
        <v>69</v>
      </c>
      <c r="R26" s="12" t="s">
        <v>69</v>
      </c>
      <c r="S26" s="12" t="b">
        <v>1</v>
      </c>
      <c r="T26" s="12" t="b">
        <v>1</v>
      </c>
      <c r="U26" s="12">
        <v>1</v>
      </c>
      <c r="V26" s="12" t="s">
        <v>70</v>
      </c>
      <c r="W26" s="12" t="s">
        <v>70</v>
      </c>
      <c r="X26" s="12" t="b">
        <v>1</v>
      </c>
      <c r="Y26" s="12" t="b">
        <v>1</v>
      </c>
      <c r="Z26" s="12">
        <v>1</v>
      </c>
      <c r="AA26" s="12">
        <v>0.79859999999999998</v>
      </c>
      <c r="AB26" s="12" t="s">
        <v>1141</v>
      </c>
      <c r="AC26" s="12" t="s">
        <v>70</v>
      </c>
      <c r="AD26" s="13" t="b">
        <v>1</v>
      </c>
    </row>
    <row r="27" spans="1:30">
      <c r="A27" t="s">
        <v>76</v>
      </c>
      <c r="B27" t="s">
        <v>77</v>
      </c>
      <c r="C27" t="s">
        <v>78</v>
      </c>
      <c r="D27" t="s">
        <v>79</v>
      </c>
      <c r="E27" t="s">
        <v>20</v>
      </c>
      <c r="F27" t="s">
        <v>80</v>
      </c>
      <c r="G27" t="s">
        <v>81</v>
      </c>
      <c r="H27" t="s">
        <v>82</v>
      </c>
      <c r="L27" t="s">
        <v>23</v>
      </c>
      <c r="M27" t="s">
        <v>24</v>
      </c>
      <c r="N27" t="s">
        <v>31</v>
      </c>
      <c r="P27" s="11" t="s">
        <v>1142</v>
      </c>
      <c r="Q27" s="12" t="s">
        <v>77</v>
      </c>
      <c r="R27" s="12" t="s">
        <v>77</v>
      </c>
      <c r="S27" s="12" t="b">
        <v>1</v>
      </c>
      <c r="T27" s="12" t="b">
        <v>1</v>
      </c>
      <c r="U27" s="12">
        <v>1</v>
      </c>
      <c r="V27" s="12" t="s">
        <v>78</v>
      </c>
      <c r="W27" s="12" t="s">
        <v>1143</v>
      </c>
      <c r="X27" s="12" t="b">
        <v>0</v>
      </c>
      <c r="Y27" s="12" t="b">
        <v>0</v>
      </c>
      <c r="Z27" s="12">
        <v>7</v>
      </c>
      <c r="AA27" s="12">
        <v>0.90210000000000001</v>
      </c>
      <c r="AB27" s="12" t="s">
        <v>1144</v>
      </c>
      <c r="AC27" s="12" t="s">
        <v>1145</v>
      </c>
      <c r="AD27" s="13" t="b">
        <v>1</v>
      </c>
    </row>
    <row r="28" spans="1:30">
      <c r="A28" t="s">
        <v>83</v>
      </c>
      <c r="B28" t="s">
        <v>84</v>
      </c>
      <c r="C28" t="s">
        <v>85</v>
      </c>
      <c r="D28" t="s">
        <v>79</v>
      </c>
      <c r="E28" t="s">
        <v>20</v>
      </c>
      <c r="F28" t="s">
        <v>86</v>
      </c>
      <c r="G28" t="s">
        <v>87</v>
      </c>
      <c r="H28" t="s">
        <v>82</v>
      </c>
      <c r="L28" t="s">
        <v>23</v>
      </c>
      <c r="M28" t="s">
        <v>24</v>
      </c>
      <c r="N28" t="s">
        <v>25</v>
      </c>
      <c r="P28" s="11" t="s">
        <v>1146</v>
      </c>
      <c r="Q28" s="12" t="s">
        <v>84</v>
      </c>
      <c r="R28" s="12" t="s">
        <v>84</v>
      </c>
      <c r="S28" s="12" t="b">
        <v>1</v>
      </c>
      <c r="T28" s="12" t="b">
        <v>1</v>
      </c>
      <c r="U28" s="12">
        <v>1</v>
      </c>
      <c r="V28" s="12" t="s">
        <v>85</v>
      </c>
      <c r="W28" s="12" t="s">
        <v>139</v>
      </c>
      <c r="X28" s="12" t="b">
        <v>0</v>
      </c>
      <c r="Y28" s="12" t="b">
        <v>1</v>
      </c>
      <c r="Z28" s="12">
        <v>4</v>
      </c>
      <c r="AA28" s="12">
        <v>0.78080000000000005</v>
      </c>
      <c r="AB28" s="12" t="s">
        <v>1147</v>
      </c>
      <c r="AC28" s="12" t="s">
        <v>1148</v>
      </c>
      <c r="AD28" s="13" t="b">
        <v>1</v>
      </c>
    </row>
    <row r="29" spans="1:30">
      <c r="A29" t="s">
        <v>88</v>
      </c>
      <c r="B29" t="s">
        <v>89</v>
      </c>
      <c r="C29" t="s">
        <v>90</v>
      </c>
      <c r="D29" t="s">
        <v>19</v>
      </c>
      <c r="E29" t="s">
        <v>20</v>
      </c>
      <c r="F29" t="s">
        <v>91</v>
      </c>
      <c r="G29" t="s">
        <v>92</v>
      </c>
      <c r="H29" t="s">
        <v>22</v>
      </c>
      <c r="I29" t="s">
        <v>93</v>
      </c>
      <c r="L29" t="s">
        <v>23</v>
      </c>
      <c r="M29" t="s">
        <v>24</v>
      </c>
      <c r="N29" t="s">
        <v>31</v>
      </c>
      <c r="P29" s="11" t="s">
        <v>1149</v>
      </c>
      <c r="Q29" s="12" t="s">
        <v>89</v>
      </c>
      <c r="R29" s="12" t="s">
        <v>89</v>
      </c>
      <c r="S29" s="12" t="b">
        <v>1</v>
      </c>
      <c r="T29" s="12" t="b">
        <v>1</v>
      </c>
      <c r="U29" s="12">
        <v>1</v>
      </c>
      <c r="V29" s="12" t="s">
        <v>90</v>
      </c>
      <c r="W29" s="12" t="s">
        <v>90</v>
      </c>
      <c r="X29" s="12" t="b">
        <v>1</v>
      </c>
      <c r="Y29" s="12" t="b">
        <v>1</v>
      </c>
      <c r="Z29" s="12">
        <v>1</v>
      </c>
      <c r="AA29" s="12">
        <v>1</v>
      </c>
      <c r="AB29" s="12" t="s">
        <v>1150</v>
      </c>
      <c r="AC29" s="12" t="s">
        <v>1151</v>
      </c>
      <c r="AD29" s="13" t="b">
        <v>1</v>
      </c>
    </row>
    <row r="30" spans="1:30">
      <c r="A30" t="s">
        <v>94</v>
      </c>
      <c r="B30" t="s">
        <v>95</v>
      </c>
      <c r="C30" t="s">
        <v>96</v>
      </c>
      <c r="D30" t="s">
        <v>44</v>
      </c>
      <c r="E30" t="s">
        <v>20</v>
      </c>
      <c r="F30" t="s">
        <v>94</v>
      </c>
      <c r="G30" t="s">
        <v>97</v>
      </c>
      <c r="H30" t="s">
        <v>47</v>
      </c>
      <c r="I30" t="s">
        <v>98</v>
      </c>
      <c r="L30" t="s">
        <v>23</v>
      </c>
      <c r="M30" t="s">
        <v>24</v>
      </c>
      <c r="N30" t="s">
        <v>25</v>
      </c>
      <c r="P30" s="11" t="s">
        <v>1152</v>
      </c>
      <c r="Q30" s="12" t="s">
        <v>95</v>
      </c>
      <c r="R30" s="12" t="s">
        <v>95</v>
      </c>
      <c r="S30" s="12" t="b">
        <v>1</v>
      </c>
      <c r="T30" s="12" t="b">
        <v>1</v>
      </c>
      <c r="U30" s="12">
        <v>1</v>
      </c>
      <c r="V30" s="12" t="s">
        <v>96</v>
      </c>
      <c r="W30" s="12" t="s">
        <v>96</v>
      </c>
      <c r="X30" s="12" t="b">
        <v>1</v>
      </c>
      <c r="Y30" s="12" t="b">
        <v>1</v>
      </c>
      <c r="Z30" s="12">
        <v>1</v>
      </c>
      <c r="AA30" s="12">
        <v>0.80789999999999995</v>
      </c>
      <c r="AB30" s="12" t="s">
        <v>1153</v>
      </c>
      <c r="AC30" s="12" t="s">
        <v>1154</v>
      </c>
      <c r="AD30" s="13" t="b">
        <v>1</v>
      </c>
    </row>
    <row r="31" spans="1:30">
      <c r="A31" t="s">
        <v>99</v>
      </c>
      <c r="B31" t="s">
        <v>100</v>
      </c>
      <c r="C31" t="s">
        <v>101</v>
      </c>
      <c r="D31" t="s">
        <v>44</v>
      </c>
      <c r="E31" t="s">
        <v>20</v>
      </c>
      <c r="F31" t="s">
        <v>102</v>
      </c>
      <c r="G31" t="s">
        <v>103</v>
      </c>
      <c r="H31" t="s">
        <v>47</v>
      </c>
      <c r="I31" t="s">
        <v>104</v>
      </c>
      <c r="L31" t="s">
        <v>23</v>
      </c>
      <c r="M31" t="s">
        <v>24</v>
      </c>
      <c r="N31" t="s">
        <v>31</v>
      </c>
      <c r="P31" s="11" t="s">
        <v>1155</v>
      </c>
      <c r="Q31" s="12" t="s">
        <v>100</v>
      </c>
      <c r="R31" s="12" t="s">
        <v>100</v>
      </c>
      <c r="S31" s="12" t="b">
        <v>1</v>
      </c>
      <c r="T31" s="12" t="b">
        <v>1</v>
      </c>
      <c r="U31" s="12">
        <v>1</v>
      </c>
      <c r="V31" s="12" t="s">
        <v>101</v>
      </c>
      <c r="W31" s="12" t="s">
        <v>101</v>
      </c>
      <c r="X31" s="12" t="b">
        <v>1</v>
      </c>
      <c r="Y31" s="12" t="b">
        <v>1</v>
      </c>
      <c r="Z31" s="12">
        <v>1</v>
      </c>
      <c r="AA31" s="12">
        <v>0.92769999999999997</v>
      </c>
      <c r="AB31" s="12" t="s">
        <v>1156</v>
      </c>
      <c r="AC31" s="12" t="s">
        <v>1157</v>
      </c>
      <c r="AD31" s="13" t="b">
        <v>1</v>
      </c>
    </row>
    <row r="32" spans="1:30">
      <c r="A32" t="s">
        <v>105</v>
      </c>
      <c r="B32" t="s">
        <v>106</v>
      </c>
      <c r="C32" t="s">
        <v>107</v>
      </c>
      <c r="D32" t="s">
        <v>19</v>
      </c>
      <c r="E32" t="s">
        <v>20</v>
      </c>
      <c r="F32" t="s">
        <v>108</v>
      </c>
      <c r="G32" t="s">
        <v>109</v>
      </c>
      <c r="H32" t="s">
        <v>22</v>
      </c>
      <c r="I32" t="s">
        <v>110</v>
      </c>
      <c r="L32" t="s">
        <v>23</v>
      </c>
      <c r="M32" t="s">
        <v>24</v>
      </c>
      <c r="N32" t="s">
        <v>25</v>
      </c>
      <c r="P32" s="11" t="s">
        <v>1158</v>
      </c>
      <c r="Q32" s="12" t="s">
        <v>106</v>
      </c>
      <c r="R32" s="12" t="s">
        <v>106</v>
      </c>
      <c r="S32" s="12" t="b">
        <v>1</v>
      </c>
      <c r="T32" s="12" t="b">
        <v>1</v>
      </c>
      <c r="U32" s="12">
        <v>1</v>
      </c>
      <c r="V32" s="12" t="s">
        <v>107</v>
      </c>
      <c r="W32" s="12" t="s">
        <v>107</v>
      </c>
      <c r="X32" s="12" t="b">
        <v>1</v>
      </c>
      <c r="Y32" s="12" t="b">
        <v>1</v>
      </c>
      <c r="Z32" s="12">
        <v>1</v>
      </c>
      <c r="AA32" s="12">
        <v>0.90339999999999998</v>
      </c>
      <c r="AB32" s="12" t="s">
        <v>1159</v>
      </c>
      <c r="AC32" s="12" t="s">
        <v>1160</v>
      </c>
      <c r="AD32" s="13" t="b">
        <v>1</v>
      </c>
    </row>
    <row r="33" spans="1:30">
      <c r="A33" t="s">
        <v>111</v>
      </c>
      <c r="B33" t="s">
        <v>112</v>
      </c>
      <c r="C33" t="s">
        <v>113</v>
      </c>
      <c r="D33" t="s">
        <v>19</v>
      </c>
      <c r="E33" t="s">
        <v>20</v>
      </c>
      <c r="F33" t="s">
        <v>111</v>
      </c>
      <c r="G33" t="s">
        <v>114</v>
      </c>
      <c r="H33" t="s">
        <v>22</v>
      </c>
      <c r="L33" t="s">
        <v>23</v>
      </c>
      <c r="M33" t="s">
        <v>24</v>
      </c>
      <c r="N33" t="s">
        <v>25</v>
      </c>
      <c r="P33" s="11" t="s">
        <v>1161</v>
      </c>
      <c r="Q33" s="12" t="s">
        <v>112</v>
      </c>
      <c r="R33" s="12" t="s">
        <v>112</v>
      </c>
      <c r="S33" s="12" t="b">
        <v>1</v>
      </c>
      <c r="T33" s="12" t="b">
        <v>1</v>
      </c>
      <c r="U33" s="12">
        <v>1</v>
      </c>
      <c r="V33" s="12" t="s">
        <v>113</v>
      </c>
      <c r="W33" s="12" t="s">
        <v>113</v>
      </c>
      <c r="X33" s="12" t="b">
        <v>1</v>
      </c>
      <c r="Y33" s="12" t="b">
        <v>1</v>
      </c>
      <c r="Z33" s="12">
        <v>1</v>
      </c>
      <c r="AA33" s="12">
        <v>0.83109999999999995</v>
      </c>
      <c r="AB33" s="12" t="s">
        <v>1162</v>
      </c>
      <c r="AC33" s="12" t="s">
        <v>1163</v>
      </c>
      <c r="AD33" s="13" t="b">
        <v>1</v>
      </c>
    </row>
    <row r="34" spans="1:30">
      <c r="A34" t="s">
        <v>115</v>
      </c>
      <c r="B34" t="s">
        <v>116</v>
      </c>
      <c r="C34" t="s">
        <v>117</v>
      </c>
      <c r="D34" t="s">
        <v>19</v>
      </c>
      <c r="E34" t="s">
        <v>20</v>
      </c>
      <c r="F34" t="s">
        <v>118</v>
      </c>
      <c r="G34" t="s">
        <v>119</v>
      </c>
      <c r="H34" t="s">
        <v>22</v>
      </c>
      <c r="I34" t="s">
        <v>120</v>
      </c>
      <c r="L34" t="s">
        <v>23</v>
      </c>
      <c r="M34" t="s">
        <v>24</v>
      </c>
      <c r="N34" t="s">
        <v>25</v>
      </c>
      <c r="P34" s="11" t="s">
        <v>1164</v>
      </c>
      <c r="Q34" s="12" t="s">
        <v>116</v>
      </c>
      <c r="R34" s="12" t="s">
        <v>116</v>
      </c>
      <c r="S34" s="12" t="b">
        <v>1</v>
      </c>
      <c r="T34" s="12" t="b">
        <v>1</v>
      </c>
      <c r="U34" s="12">
        <v>1</v>
      </c>
      <c r="V34" s="12" t="s">
        <v>117</v>
      </c>
      <c r="W34" s="12" t="s">
        <v>117</v>
      </c>
      <c r="X34" s="12" t="b">
        <v>1</v>
      </c>
      <c r="Y34" s="12" t="b">
        <v>1</v>
      </c>
      <c r="Z34" s="12">
        <v>1</v>
      </c>
      <c r="AA34" s="12">
        <v>0.72840000000000005</v>
      </c>
      <c r="AB34" s="12" t="s">
        <v>1165</v>
      </c>
      <c r="AC34" s="12" t="s">
        <v>1166</v>
      </c>
      <c r="AD34" s="13" t="b">
        <v>1</v>
      </c>
    </row>
    <row r="35" spans="1:30">
      <c r="A35" t="s">
        <v>115</v>
      </c>
      <c r="B35" t="s">
        <v>116</v>
      </c>
      <c r="C35" t="s">
        <v>117</v>
      </c>
      <c r="D35" t="s">
        <v>19</v>
      </c>
      <c r="E35" t="s">
        <v>20</v>
      </c>
      <c r="F35" t="s">
        <v>121</v>
      </c>
      <c r="G35" t="s">
        <v>122</v>
      </c>
      <c r="H35" t="s">
        <v>22</v>
      </c>
      <c r="I35" t="s">
        <v>123</v>
      </c>
      <c r="L35" t="s">
        <v>23</v>
      </c>
      <c r="M35" t="s">
        <v>24</v>
      </c>
      <c r="N35" t="s">
        <v>31</v>
      </c>
      <c r="P35" s="11" t="s">
        <v>1167</v>
      </c>
      <c r="Q35" s="12" t="s">
        <v>116</v>
      </c>
      <c r="R35" s="12" t="s">
        <v>116</v>
      </c>
      <c r="S35" s="12" t="b">
        <v>1</v>
      </c>
      <c r="T35" s="12" t="b">
        <v>1</v>
      </c>
      <c r="U35" s="12">
        <v>1</v>
      </c>
      <c r="V35" s="12" t="s">
        <v>117</v>
      </c>
      <c r="W35" s="12" t="s">
        <v>117</v>
      </c>
      <c r="X35" s="12" t="b">
        <v>1</v>
      </c>
      <c r="Y35" s="12" t="b">
        <v>1</v>
      </c>
      <c r="Z35" s="12">
        <v>1</v>
      </c>
      <c r="AA35" s="12">
        <v>0.97660000000000002</v>
      </c>
      <c r="AB35" s="12" t="s">
        <v>1165</v>
      </c>
      <c r="AC35" s="12" t="s">
        <v>1166</v>
      </c>
      <c r="AD35" s="13" t="b">
        <v>1</v>
      </c>
    </row>
    <row r="36" spans="1:30">
      <c r="A36" t="s">
        <v>124</v>
      </c>
      <c r="B36" t="s">
        <v>125</v>
      </c>
      <c r="C36" t="s">
        <v>126</v>
      </c>
      <c r="D36" t="s">
        <v>127</v>
      </c>
      <c r="E36" t="s">
        <v>127</v>
      </c>
      <c r="F36" t="s">
        <v>128</v>
      </c>
      <c r="G36" t="s">
        <v>128</v>
      </c>
      <c r="L36" t="s">
        <v>23</v>
      </c>
      <c r="M36" t="s">
        <v>24</v>
      </c>
      <c r="N36" t="s">
        <v>31</v>
      </c>
      <c r="P36" s="11" t="s">
        <v>128</v>
      </c>
      <c r="Q36" s="12" t="s">
        <v>125</v>
      </c>
      <c r="R36" s="12" t="s">
        <v>125</v>
      </c>
      <c r="S36" s="12" t="b">
        <v>1</v>
      </c>
      <c r="T36" s="12" t="b">
        <v>1</v>
      </c>
      <c r="U36" s="12">
        <v>1</v>
      </c>
      <c r="V36" s="12" t="s">
        <v>126</v>
      </c>
      <c r="W36" s="12" t="s">
        <v>126</v>
      </c>
      <c r="X36" s="12" t="b">
        <v>1</v>
      </c>
      <c r="Y36" s="12" t="b">
        <v>1</v>
      </c>
      <c r="Z36" s="12">
        <v>1</v>
      </c>
      <c r="AA36" s="12">
        <v>0.77990000000000004</v>
      </c>
      <c r="AB36" s="12" t="s">
        <v>999</v>
      </c>
      <c r="AC36" s="12" t="s">
        <v>1168</v>
      </c>
      <c r="AD36" s="13" t="b">
        <v>1</v>
      </c>
    </row>
    <row r="37" spans="1:30">
      <c r="A37" t="s">
        <v>129</v>
      </c>
      <c r="B37" t="s">
        <v>130</v>
      </c>
      <c r="C37" t="s">
        <v>131</v>
      </c>
      <c r="D37" t="s">
        <v>127</v>
      </c>
      <c r="E37" t="s">
        <v>127</v>
      </c>
      <c r="F37" t="s">
        <v>132</v>
      </c>
      <c r="G37" t="s">
        <v>133</v>
      </c>
      <c r="L37" t="s">
        <v>23</v>
      </c>
      <c r="M37" t="s">
        <v>24</v>
      </c>
      <c r="N37" t="s">
        <v>31</v>
      </c>
      <c r="P37" s="11" t="s">
        <v>132</v>
      </c>
      <c r="Q37" s="12" t="s">
        <v>130</v>
      </c>
      <c r="R37" s="12" t="s">
        <v>130</v>
      </c>
      <c r="S37" s="12" t="b">
        <v>1</v>
      </c>
      <c r="T37" s="12" t="b">
        <v>1</v>
      </c>
      <c r="U37" s="12">
        <v>1</v>
      </c>
      <c r="V37" s="12" t="s">
        <v>131</v>
      </c>
      <c r="W37" s="12" t="s">
        <v>131</v>
      </c>
      <c r="X37" s="12" t="b">
        <v>1</v>
      </c>
      <c r="Y37" s="12" t="b">
        <v>1</v>
      </c>
      <c r="Z37" s="12">
        <v>1</v>
      </c>
      <c r="AA37" s="12">
        <v>1</v>
      </c>
      <c r="AB37" s="12" t="s">
        <v>130</v>
      </c>
      <c r="AC37" s="12" t="s">
        <v>1169</v>
      </c>
      <c r="AD37" s="13" t="b">
        <v>1</v>
      </c>
    </row>
    <row r="38" spans="1:30">
      <c r="A38" t="s">
        <v>134</v>
      </c>
      <c r="B38" t="s">
        <v>135</v>
      </c>
      <c r="C38" t="s">
        <v>136</v>
      </c>
      <c r="D38" t="s">
        <v>19</v>
      </c>
      <c r="E38" t="s">
        <v>20</v>
      </c>
      <c r="F38" t="s">
        <v>134</v>
      </c>
      <c r="G38" t="s">
        <v>137</v>
      </c>
      <c r="H38" t="s">
        <v>22</v>
      </c>
      <c r="L38" t="s">
        <v>23</v>
      </c>
      <c r="M38" t="s">
        <v>24</v>
      </c>
      <c r="N38" t="s">
        <v>25</v>
      </c>
      <c r="P38" s="11" t="s">
        <v>1170</v>
      </c>
      <c r="Q38" s="12" t="s">
        <v>135</v>
      </c>
      <c r="R38" s="12" t="s">
        <v>135</v>
      </c>
      <c r="S38" s="12" t="b">
        <v>1</v>
      </c>
      <c r="T38" s="12" t="b">
        <v>1</v>
      </c>
      <c r="U38" s="12">
        <v>1</v>
      </c>
      <c r="V38" s="12" t="s">
        <v>136</v>
      </c>
      <c r="W38" s="12" t="s">
        <v>136</v>
      </c>
      <c r="X38" s="12" t="b">
        <v>1</v>
      </c>
      <c r="Y38" s="12" t="b">
        <v>1</v>
      </c>
      <c r="Z38" s="12">
        <v>1</v>
      </c>
      <c r="AA38" s="12">
        <v>0.88170000000000004</v>
      </c>
      <c r="AB38" s="12" t="s">
        <v>1171</v>
      </c>
      <c r="AC38" s="12" t="s">
        <v>631</v>
      </c>
      <c r="AD38" s="13" t="b">
        <v>1</v>
      </c>
    </row>
    <row r="39" spans="1:30">
      <c r="A39" t="s">
        <v>138</v>
      </c>
      <c r="B39" t="s">
        <v>84</v>
      </c>
      <c r="C39" t="s">
        <v>139</v>
      </c>
      <c r="D39" t="s">
        <v>19</v>
      </c>
      <c r="E39" t="s">
        <v>20</v>
      </c>
      <c r="F39" t="s">
        <v>86</v>
      </c>
      <c r="G39" t="s">
        <v>140</v>
      </c>
      <c r="H39" t="s">
        <v>22</v>
      </c>
      <c r="I39" t="s">
        <v>141</v>
      </c>
      <c r="L39" t="s">
        <v>23</v>
      </c>
      <c r="M39" t="s">
        <v>24</v>
      </c>
      <c r="N39" t="s">
        <v>25</v>
      </c>
      <c r="P39" s="11" t="s">
        <v>1172</v>
      </c>
      <c r="Q39" s="12" t="s">
        <v>84</v>
      </c>
      <c r="R39" s="12" t="s">
        <v>84</v>
      </c>
      <c r="S39" s="12" t="b">
        <v>1</v>
      </c>
      <c r="T39" s="12" t="b">
        <v>1</v>
      </c>
      <c r="U39" s="12">
        <v>1</v>
      </c>
      <c r="V39" s="12" t="s">
        <v>139</v>
      </c>
      <c r="W39" s="12" t="s">
        <v>139</v>
      </c>
      <c r="X39" s="12" t="b">
        <v>1</v>
      </c>
      <c r="Y39" s="12" t="b">
        <v>1</v>
      </c>
      <c r="Z39" s="12">
        <v>1</v>
      </c>
      <c r="AA39" s="12">
        <v>0.78080000000000005</v>
      </c>
      <c r="AB39" s="12" t="s">
        <v>1173</v>
      </c>
      <c r="AC39" s="12" t="s">
        <v>1174</v>
      </c>
      <c r="AD39" s="13" t="b">
        <v>1</v>
      </c>
    </row>
    <row r="40" spans="1:30">
      <c r="A40" t="s">
        <v>142</v>
      </c>
      <c r="B40" t="s">
        <v>143</v>
      </c>
      <c r="C40" t="s">
        <v>144</v>
      </c>
      <c r="D40" t="s">
        <v>19</v>
      </c>
      <c r="E40" t="s">
        <v>20</v>
      </c>
      <c r="F40" t="s">
        <v>145</v>
      </c>
      <c r="G40" t="s">
        <v>146</v>
      </c>
      <c r="H40" t="s">
        <v>22</v>
      </c>
      <c r="L40" t="s">
        <v>23</v>
      </c>
      <c r="M40" t="s">
        <v>24</v>
      </c>
      <c r="N40" t="s">
        <v>25</v>
      </c>
      <c r="P40" s="11" t="s">
        <v>1175</v>
      </c>
      <c r="Q40" s="12" t="s">
        <v>143</v>
      </c>
      <c r="R40" s="12" t="s">
        <v>143</v>
      </c>
      <c r="S40" s="12" t="b">
        <v>1</v>
      </c>
      <c r="T40" s="12" t="b">
        <v>1</v>
      </c>
      <c r="U40" s="12">
        <v>1</v>
      </c>
      <c r="V40" s="12" t="s">
        <v>144</v>
      </c>
      <c r="W40" s="12" t="s">
        <v>144</v>
      </c>
      <c r="X40" s="12" t="b">
        <v>1</v>
      </c>
      <c r="Y40" s="12" t="b">
        <v>1</v>
      </c>
      <c r="Z40" s="12">
        <v>1</v>
      </c>
      <c r="AA40" s="12">
        <v>0.79859999999999998</v>
      </c>
      <c r="AB40" s="12" t="s">
        <v>1176</v>
      </c>
      <c r="AC40" s="12" t="s">
        <v>1177</v>
      </c>
      <c r="AD40" s="13" t="b">
        <v>1</v>
      </c>
    </row>
    <row r="41" spans="1:30">
      <c r="A41" t="s">
        <v>147</v>
      </c>
      <c r="B41" t="s">
        <v>148</v>
      </c>
      <c r="C41" t="s">
        <v>149</v>
      </c>
      <c r="D41" t="s">
        <v>19</v>
      </c>
      <c r="E41" t="s">
        <v>20</v>
      </c>
      <c r="F41" t="s">
        <v>147</v>
      </c>
      <c r="G41" t="s">
        <v>150</v>
      </c>
      <c r="H41" t="s">
        <v>22</v>
      </c>
      <c r="I41" t="s">
        <v>151</v>
      </c>
      <c r="L41" t="s">
        <v>23</v>
      </c>
      <c r="M41" t="s">
        <v>24</v>
      </c>
      <c r="N41" t="s">
        <v>25</v>
      </c>
      <c r="P41" s="11" t="s">
        <v>1178</v>
      </c>
      <c r="Q41" s="12" t="s">
        <v>148</v>
      </c>
      <c r="R41" s="12" t="s">
        <v>148</v>
      </c>
      <c r="S41" s="12" t="b">
        <v>1</v>
      </c>
      <c r="T41" s="12" t="b">
        <v>1</v>
      </c>
      <c r="U41" s="12">
        <v>1</v>
      </c>
      <c r="V41" s="12" t="s">
        <v>149</v>
      </c>
      <c r="W41" s="12" t="s">
        <v>149</v>
      </c>
      <c r="X41" s="12" t="b">
        <v>1</v>
      </c>
      <c r="Y41" s="12" t="b">
        <v>1</v>
      </c>
      <c r="Z41" s="12">
        <v>1</v>
      </c>
      <c r="AA41" s="12">
        <v>0.79449999999999998</v>
      </c>
      <c r="AB41" s="12" t="s">
        <v>1179</v>
      </c>
      <c r="AC41" s="12" t="s">
        <v>1180</v>
      </c>
      <c r="AD41" s="13" t="b">
        <v>1</v>
      </c>
    </row>
    <row r="42" spans="1:30">
      <c r="A42" s="2" t="s">
        <v>152</v>
      </c>
      <c r="B42" s="2" t="s">
        <v>152</v>
      </c>
      <c r="C42" s="2" t="s">
        <v>153</v>
      </c>
      <c r="D42" s="2" t="s">
        <v>19</v>
      </c>
      <c r="E42" s="2" t="s">
        <v>20</v>
      </c>
      <c r="F42" s="2" t="s">
        <v>154</v>
      </c>
      <c r="G42" s="2" t="s">
        <v>155</v>
      </c>
      <c r="H42" s="2" t="s">
        <v>22</v>
      </c>
      <c r="I42" s="2" t="s">
        <v>156</v>
      </c>
      <c r="J42" s="2"/>
      <c r="K42" s="2"/>
      <c r="L42" t="s">
        <v>23</v>
      </c>
      <c r="M42" t="s">
        <v>24</v>
      </c>
      <c r="N42" t="s">
        <v>49</v>
      </c>
      <c r="O42" s="2"/>
      <c r="P42" s="11" t="s">
        <v>1181</v>
      </c>
      <c r="Q42" s="12" t="s">
        <v>152</v>
      </c>
      <c r="R42" s="12" t="s">
        <v>328</v>
      </c>
      <c r="S42" s="12" t="b">
        <v>0</v>
      </c>
      <c r="T42" s="12" t="b">
        <v>0</v>
      </c>
      <c r="U42" s="12"/>
      <c r="V42" s="12" t="s">
        <v>153</v>
      </c>
      <c r="W42" s="12" t="s">
        <v>569</v>
      </c>
      <c r="X42" s="12" t="b">
        <v>0</v>
      </c>
      <c r="Y42" s="12" t="b">
        <v>0</v>
      </c>
      <c r="Z42" s="12"/>
      <c r="AA42" s="12">
        <v>0.60119999999999996</v>
      </c>
      <c r="AB42" s="12" t="s">
        <v>1182</v>
      </c>
      <c r="AC42" s="12" t="s">
        <v>1183</v>
      </c>
      <c r="AD42" s="13" t="b">
        <v>1</v>
      </c>
    </row>
    <row r="43" spans="1:30">
      <c r="A43" s="2" t="s">
        <v>157</v>
      </c>
      <c r="B43" s="2" t="s">
        <v>158</v>
      </c>
      <c r="C43" s="2" t="s">
        <v>159</v>
      </c>
      <c r="D43" s="2" t="s">
        <v>19</v>
      </c>
      <c r="E43" s="2" t="s">
        <v>20</v>
      </c>
      <c r="F43" s="2" t="s">
        <v>157</v>
      </c>
      <c r="G43" s="2" t="s">
        <v>160</v>
      </c>
      <c r="H43" s="2" t="s">
        <v>22</v>
      </c>
      <c r="I43" s="2" t="s">
        <v>161</v>
      </c>
      <c r="J43" s="2"/>
      <c r="K43" s="2"/>
      <c r="L43" t="s">
        <v>23</v>
      </c>
      <c r="M43" t="s">
        <v>24</v>
      </c>
      <c r="N43" t="s">
        <v>25</v>
      </c>
      <c r="P43" s="11" t="s">
        <v>1184</v>
      </c>
      <c r="Q43" s="12" t="s">
        <v>158</v>
      </c>
      <c r="R43" s="12" t="s">
        <v>158</v>
      </c>
      <c r="S43" s="12" t="b">
        <v>1</v>
      </c>
      <c r="T43" s="12" t="b">
        <v>1</v>
      </c>
      <c r="U43" s="12">
        <v>1</v>
      </c>
      <c r="V43" s="12" t="s">
        <v>159</v>
      </c>
      <c r="W43" s="12" t="s">
        <v>159</v>
      </c>
      <c r="X43" s="12" t="b">
        <v>1</v>
      </c>
      <c r="Y43" s="12" t="b">
        <v>1</v>
      </c>
      <c r="Z43" s="12">
        <v>1</v>
      </c>
      <c r="AA43" s="12">
        <v>0.80689999999999995</v>
      </c>
      <c r="AB43" s="12" t="s">
        <v>1185</v>
      </c>
      <c r="AC43" s="12" t="s">
        <v>1186</v>
      </c>
      <c r="AD43" s="13" t="b">
        <v>1</v>
      </c>
    </row>
    <row r="44" spans="1:30">
      <c r="A44" s="2" t="s">
        <v>162</v>
      </c>
      <c r="B44" s="2" t="s">
        <v>163</v>
      </c>
      <c r="C44" s="2" t="s">
        <v>164</v>
      </c>
      <c r="D44" s="2" t="s">
        <v>19</v>
      </c>
      <c r="E44" s="2" t="s">
        <v>20</v>
      </c>
      <c r="F44" s="2" t="s">
        <v>165</v>
      </c>
      <c r="G44" s="2" t="s">
        <v>166</v>
      </c>
      <c r="H44" s="2" t="s">
        <v>22</v>
      </c>
      <c r="I44" s="2" t="s">
        <v>167</v>
      </c>
      <c r="J44" s="2"/>
      <c r="K44" s="2"/>
      <c r="L44" t="s">
        <v>23</v>
      </c>
      <c r="M44" t="s">
        <v>24</v>
      </c>
      <c r="N44" t="s">
        <v>49</v>
      </c>
      <c r="P44" s="11" t="s">
        <v>1187</v>
      </c>
      <c r="Q44" s="12" t="s">
        <v>163</v>
      </c>
      <c r="R44" s="12" t="s">
        <v>168</v>
      </c>
      <c r="S44" s="12" t="b">
        <v>0</v>
      </c>
      <c r="T44" s="12" t="b">
        <v>0</v>
      </c>
      <c r="U44" s="12"/>
      <c r="V44" s="12" t="s">
        <v>164</v>
      </c>
      <c r="W44" s="12" t="s">
        <v>169</v>
      </c>
      <c r="X44" s="12" t="b">
        <v>0</v>
      </c>
      <c r="Y44" s="12" t="b">
        <v>0</v>
      </c>
      <c r="Z44" s="12"/>
      <c r="AA44" s="12">
        <v>1</v>
      </c>
      <c r="AB44" s="12" t="s">
        <v>1188</v>
      </c>
      <c r="AC44" s="12" t="s">
        <v>169</v>
      </c>
      <c r="AD44" s="13" t="b">
        <v>1</v>
      </c>
    </row>
    <row r="45" spans="1:30">
      <c r="A45" s="2" t="s">
        <v>165</v>
      </c>
      <c r="B45" s="2" t="s">
        <v>168</v>
      </c>
      <c r="C45" s="2" t="s">
        <v>169</v>
      </c>
      <c r="D45" s="2" t="s">
        <v>19</v>
      </c>
      <c r="E45" s="2" t="s">
        <v>20</v>
      </c>
      <c r="F45" s="2" t="s">
        <v>165</v>
      </c>
      <c r="G45" s="2" t="s">
        <v>170</v>
      </c>
      <c r="H45" s="2" t="s">
        <v>22</v>
      </c>
      <c r="I45" s="2" t="s">
        <v>171</v>
      </c>
      <c r="J45" s="2"/>
      <c r="K45" s="2"/>
      <c r="L45" t="s">
        <v>23</v>
      </c>
      <c r="M45" t="s">
        <v>24</v>
      </c>
      <c r="N45" t="s">
        <v>31</v>
      </c>
      <c r="P45" s="11" t="s">
        <v>1187</v>
      </c>
      <c r="Q45" s="12" t="s">
        <v>168</v>
      </c>
      <c r="R45" s="12" t="s">
        <v>168</v>
      </c>
      <c r="S45" s="12" t="b">
        <v>1</v>
      </c>
      <c r="T45" s="12" t="b">
        <v>1</v>
      </c>
      <c r="U45" s="12">
        <v>1</v>
      </c>
      <c r="V45" s="12" t="s">
        <v>169</v>
      </c>
      <c r="W45" s="12" t="s">
        <v>169</v>
      </c>
      <c r="X45" s="12" t="b">
        <v>1</v>
      </c>
      <c r="Y45" s="12" t="b">
        <v>1</v>
      </c>
      <c r="Z45" s="12">
        <v>1</v>
      </c>
      <c r="AA45" s="12">
        <v>1</v>
      </c>
      <c r="AB45" s="12" t="s">
        <v>1188</v>
      </c>
      <c r="AC45" s="12" t="s">
        <v>169</v>
      </c>
      <c r="AD45" s="13" t="b">
        <v>1</v>
      </c>
    </row>
    <row r="46" spans="1:30">
      <c r="A46" s="2" t="s">
        <v>172</v>
      </c>
      <c r="B46" s="2" t="s">
        <v>173</v>
      </c>
      <c r="C46" s="2" t="s">
        <v>174</v>
      </c>
      <c r="D46" s="2" t="s">
        <v>19</v>
      </c>
      <c r="E46" s="2" t="s">
        <v>20</v>
      </c>
      <c r="F46" s="2" t="s">
        <v>175</v>
      </c>
      <c r="G46" s="2" t="s">
        <v>176</v>
      </c>
      <c r="H46" s="2"/>
      <c r="I46" s="2"/>
      <c r="J46" s="2"/>
      <c r="K46" s="2"/>
      <c r="L46" t="s">
        <v>23</v>
      </c>
      <c r="M46" t="s">
        <v>24</v>
      </c>
      <c r="N46" t="s">
        <v>49</v>
      </c>
      <c r="P46" s="11" t="s">
        <v>175</v>
      </c>
      <c r="Q46" s="12" t="s">
        <v>173</v>
      </c>
      <c r="R46" s="12" t="s">
        <v>1189</v>
      </c>
      <c r="S46" s="12" t="b">
        <v>0</v>
      </c>
      <c r="T46" s="12" t="b">
        <v>0</v>
      </c>
      <c r="U46" s="12"/>
      <c r="V46" s="12" t="s">
        <v>174</v>
      </c>
      <c r="W46" s="12" t="s">
        <v>1190</v>
      </c>
      <c r="X46" s="12" t="b">
        <v>0</v>
      </c>
      <c r="Y46" s="12" t="b">
        <v>0</v>
      </c>
      <c r="Z46" s="12"/>
      <c r="AA46" s="12">
        <v>0.61980000000000002</v>
      </c>
      <c r="AB46" s="12" t="s">
        <v>1002</v>
      </c>
      <c r="AC46" s="12" t="s">
        <v>1191</v>
      </c>
      <c r="AD46" s="13" t="b">
        <v>1</v>
      </c>
    </row>
    <row r="47" spans="1:30">
      <c r="A47" t="s">
        <v>16</v>
      </c>
      <c r="B47" t="s">
        <v>17</v>
      </c>
      <c r="C47" t="s">
        <v>177</v>
      </c>
      <c r="D47" t="s">
        <v>44</v>
      </c>
      <c r="E47" t="s">
        <v>20</v>
      </c>
      <c r="F47" t="s">
        <v>178</v>
      </c>
      <c r="H47" t="s">
        <v>179</v>
      </c>
      <c r="J47">
        <v>15670</v>
      </c>
      <c r="L47" t="s">
        <v>180</v>
      </c>
      <c r="M47" t="s">
        <v>24</v>
      </c>
      <c r="N47" t="s">
        <v>49</v>
      </c>
      <c r="P47" s="11" t="s">
        <v>481</v>
      </c>
      <c r="Q47" s="12" t="s">
        <v>17</v>
      </c>
      <c r="R47" s="12" t="s">
        <v>1192</v>
      </c>
      <c r="S47" s="12" t="b">
        <v>0</v>
      </c>
      <c r="T47" s="12" t="b">
        <v>1</v>
      </c>
      <c r="U47" s="12">
        <v>3</v>
      </c>
      <c r="V47" s="12" t="s">
        <v>177</v>
      </c>
      <c r="W47" s="12" t="s">
        <v>1193</v>
      </c>
      <c r="X47" s="12" t="b">
        <v>0</v>
      </c>
      <c r="Y47" s="12" t="b">
        <v>0</v>
      </c>
      <c r="Z47" s="12"/>
      <c r="AA47" s="12">
        <v>0.6986</v>
      </c>
      <c r="AB47" s="12" t="s">
        <v>1194</v>
      </c>
      <c r="AC47" s="12" t="s">
        <v>1195</v>
      </c>
      <c r="AD47" s="13" t="b">
        <v>1</v>
      </c>
    </row>
    <row r="48" spans="1:30">
      <c r="A48" t="s">
        <v>26</v>
      </c>
      <c r="B48" t="s">
        <v>27</v>
      </c>
      <c r="C48" t="s">
        <v>181</v>
      </c>
      <c r="D48" t="s">
        <v>127</v>
      </c>
      <c r="E48" t="s">
        <v>127</v>
      </c>
      <c r="F48" t="s">
        <v>182</v>
      </c>
      <c r="H48" t="s">
        <v>183</v>
      </c>
      <c r="J48">
        <v>12867</v>
      </c>
      <c r="L48" t="s">
        <v>180</v>
      </c>
      <c r="M48" t="s">
        <v>24</v>
      </c>
      <c r="N48" t="s">
        <v>31</v>
      </c>
      <c r="P48" s="11" t="s">
        <v>483</v>
      </c>
      <c r="Q48" s="12" t="s">
        <v>27</v>
      </c>
      <c r="R48" s="12" t="s">
        <v>27</v>
      </c>
      <c r="S48" s="12" t="b">
        <v>1</v>
      </c>
      <c r="T48" s="12" t="b">
        <v>1</v>
      </c>
      <c r="U48" s="12">
        <v>1</v>
      </c>
      <c r="V48" s="12" t="s">
        <v>181</v>
      </c>
      <c r="W48" s="12" t="s">
        <v>181</v>
      </c>
      <c r="X48" s="12" t="b">
        <v>1</v>
      </c>
      <c r="Y48" s="12" t="b">
        <v>1</v>
      </c>
      <c r="Z48" s="12">
        <v>1</v>
      </c>
      <c r="AA48" s="12">
        <v>0.96189999999999998</v>
      </c>
      <c r="AB48" s="12" t="s">
        <v>987</v>
      </c>
      <c r="AC48" s="12" t="s">
        <v>1116</v>
      </c>
      <c r="AD48" s="13" t="b">
        <v>1</v>
      </c>
    </row>
    <row r="49" spans="1:30">
      <c r="A49" t="s">
        <v>184</v>
      </c>
      <c r="B49" t="s">
        <v>185</v>
      </c>
      <c r="C49" t="s">
        <v>186</v>
      </c>
      <c r="D49" t="s">
        <v>19</v>
      </c>
      <c r="E49" t="s">
        <v>20</v>
      </c>
      <c r="F49" t="s">
        <v>187</v>
      </c>
      <c r="H49" t="s">
        <v>188</v>
      </c>
      <c r="J49">
        <v>15010</v>
      </c>
      <c r="L49" t="s">
        <v>180</v>
      </c>
      <c r="M49" t="s">
        <v>24</v>
      </c>
      <c r="N49" t="s">
        <v>25</v>
      </c>
      <c r="P49" s="11" t="s">
        <v>485</v>
      </c>
      <c r="Q49" s="12" t="s">
        <v>185</v>
      </c>
      <c r="R49" s="12" t="s">
        <v>185</v>
      </c>
      <c r="S49" s="12" t="b">
        <v>1</v>
      </c>
      <c r="T49" s="12" t="b">
        <v>1</v>
      </c>
      <c r="U49" s="12">
        <v>1</v>
      </c>
      <c r="V49" s="12" t="s">
        <v>186</v>
      </c>
      <c r="W49" s="12" t="s">
        <v>186</v>
      </c>
      <c r="X49" s="12" t="b">
        <v>1</v>
      </c>
      <c r="Y49" s="12" t="b">
        <v>1</v>
      </c>
      <c r="Z49" s="12">
        <v>1</v>
      </c>
      <c r="AA49" s="12">
        <v>0.79859999999999998</v>
      </c>
      <c r="AB49" s="12" t="s">
        <v>1196</v>
      </c>
      <c r="AC49" s="12" t="s">
        <v>1197</v>
      </c>
      <c r="AD49" s="13" t="b">
        <v>1</v>
      </c>
    </row>
    <row r="50" spans="1:30">
      <c r="A50" t="s">
        <v>53</v>
      </c>
      <c r="B50" t="s">
        <v>54</v>
      </c>
      <c r="C50" t="s">
        <v>55</v>
      </c>
      <c r="D50" t="s">
        <v>19</v>
      </c>
      <c r="E50" t="s">
        <v>20</v>
      </c>
      <c r="F50" t="s">
        <v>53</v>
      </c>
      <c r="H50" t="s">
        <v>189</v>
      </c>
      <c r="J50">
        <v>5628</v>
      </c>
      <c r="L50" t="s">
        <v>180</v>
      </c>
      <c r="M50" t="s">
        <v>24</v>
      </c>
      <c r="N50" t="s">
        <v>25</v>
      </c>
      <c r="P50" s="11" t="s">
        <v>488</v>
      </c>
      <c r="Q50" s="12" t="s">
        <v>54</v>
      </c>
      <c r="R50" s="12" t="s">
        <v>54</v>
      </c>
      <c r="S50" s="12" t="b">
        <v>1</v>
      </c>
      <c r="T50" s="12" t="b">
        <v>1</v>
      </c>
      <c r="U50" s="12">
        <v>1</v>
      </c>
      <c r="V50" s="12" t="s">
        <v>55</v>
      </c>
      <c r="W50" s="12" t="s">
        <v>55</v>
      </c>
      <c r="X50" s="12" t="b">
        <v>1</v>
      </c>
      <c r="Y50" s="12" t="b">
        <v>1</v>
      </c>
      <c r="Z50" s="12">
        <v>1</v>
      </c>
      <c r="AA50" s="12">
        <v>0.82809999999999995</v>
      </c>
      <c r="AB50" s="12" t="s">
        <v>1130</v>
      </c>
      <c r="AC50" s="12" t="s">
        <v>1131</v>
      </c>
      <c r="AD50" s="13" t="b">
        <v>1</v>
      </c>
    </row>
    <row r="51" spans="1:30">
      <c r="A51" t="s">
        <v>190</v>
      </c>
      <c r="B51" t="s">
        <v>191</v>
      </c>
      <c r="C51" t="s">
        <v>192</v>
      </c>
      <c r="D51" t="s">
        <v>19</v>
      </c>
      <c r="E51" t="s">
        <v>20</v>
      </c>
      <c r="F51" t="s">
        <v>193</v>
      </c>
      <c r="H51" t="s">
        <v>22</v>
      </c>
      <c r="J51">
        <v>3130</v>
      </c>
      <c r="L51" t="s">
        <v>180</v>
      </c>
      <c r="M51" t="s">
        <v>24</v>
      </c>
      <c r="N51" t="s">
        <v>25</v>
      </c>
      <c r="P51" s="11" t="s">
        <v>489</v>
      </c>
      <c r="Q51" s="12" t="s">
        <v>191</v>
      </c>
      <c r="R51" s="12" t="s">
        <v>191</v>
      </c>
      <c r="S51" s="12" t="b">
        <v>1</v>
      </c>
      <c r="T51" s="12" t="b">
        <v>1</v>
      </c>
      <c r="U51" s="12">
        <v>1</v>
      </c>
      <c r="V51" s="12" t="s">
        <v>192</v>
      </c>
      <c r="W51" s="12" t="s">
        <v>192</v>
      </c>
      <c r="X51" s="12" t="b">
        <v>1</v>
      </c>
      <c r="Y51" s="12" t="b">
        <v>1</v>
      </c>
      <c r="Z51" s="12">
        <v>1</v>
      </c>
      <c r="AA51" s="12">
        <v>0.91559999999999997</v>
      </c>
      <c r="AB51" s="12" t="s">
        <v>1198</v>
      </c>
      <c r="AC51" s="12" t="s">
        <v>1199</v>
      </c>
      <c r="AD51" s="13" t="b">
        <v>1</v>
      </c>
    </row>
    <row r="52" spans="1:30">
      <c r="A52" t="s">
        <v>68</v>
      </c>
      <c r="B52" t="s">
        <v>69</v>
      </c>
      <c r="C52" t="s">
        <v>70</v>
      </c>
      <c r="D52" t="s">
        <v>19</v>
      </c>
      <c r="E52" t="s">
        <v>20</v>
      </c>
      <c r="F52" t="s">
        <v>194</v>
      </c>
      <c r="H52" t="s">
        <v>189</v>
      </c>
      <c r="J52">
        <v>3155</v>
      </c>
      <c r="L52" t="s">
        <v>180</v>
      </c>
      <c r="M52" t="s">
        <v>24</v>
      </c>
      <c r="N52" t="s">
        <v>31</v>
      </c>
      <c r="P52" s="11" t="s">
        <v>491</v>
      </c>
      <c r="Q52" s="12" t="s">
        <v>69</v>
      </c>
      <c r="R52" s="12" t="s">
        <v>69</v>
      </c>
      <c r="S52" s="12" t="b">
        <v>1</v>
      </c>
      <c r="T52" s="12" t="b">
        <v>1</v>
      </c>
      <c r="U52" s="12">
        <v>1</v>
      </c>
      <c r="V52" s="12" t="s">
        <v>70</v>
      </c>
      <c r="W52" s="12" t="s">
        <v>70</v>
      </c>
      <c r="X52" s="12" t="b">
        <v>1</v>
      </c>
      <c r="Y52" s="12" t="b">
        <v>1</v>
      </c>
      <c r="Z52" s="12">
        <v>1</v>
      </c>
      <c r="AA52" s="12">
        <v>0.79859999999999998</v>
      </c>
      <c r="AB52" s="12" t="s">
        <v>1141</v>
      </c>
      <c r="AC52" s="12" t="s">
        <v>70</v>
      </c>
      <c r="AD52" s="13" t="b">
        <v>1</v>
      </c>
    </row>
    <row r="53" spans="1:30">
      <c r="A53" t="s">
        <v>195</v>
      </c>
      <c r="B53" t="s">
        <v>196</v>
      </c>
      <c r="C53" t="s">
        <v>197</v>
      </c>
      <c r="D53" t="s">
        <v>19</v>
      </c>
      <c r="E53" t="s">
        <v>20</v>
      </c>
      <c r="F53" t="s">
        <v>198</v>
      </c>
      <c r="H53" t="s">
        <v>189</v>
      </c>
      <c r="J53">
        <v>3098</v>
      </c>
      <c r="L53" t="s">
        <v>180</v>
      </c>
      <c r="M53" t="s">
        <v>24</v>
      </c>
      <c r="N53" t="s">
        <v>25</v>
      </c>
      <c r="P53" s="11" t="s">
        <v>493</v>
      </c>
      <c r="Q53" s="12" t="s">
        <v>196</v>
      </c>
      <c r="R53" s="12" t="s">
        <v>196</v>
      </c>
      <c r="S53" s="12" t="b">
        <v>1</v>
      </c>
      <c r="T53" s="12" t="b">
        <v>1</v>
      </c>
      <c r="U53" s="12">
        <v>1</v>
      </c>
      <c r="V53" s="12" t="s">
        <v>197</v>
      </c>
      <c r="W53" s="12" t="s">
        <v>197</v>
      </c>
      <c r="X53" s="12" t="b">
        <v>1</v>
      </c>
      <c r="Y53" s="12" t="b">
        <v>1</v>
      </c>
      <c r="Z53" s="12">
        <v>1</v>
      </c>
      <c r="AA53" s="12">
        <v>0.82379999999999998</v>
      </c>
      <c r="AB53" s="12" t="s">
        <v>1200</v>
      </c>
      <c r="AC53" s="12" t="s">
        <v>1201</v>
      </c>
      <c r="AD53" s="13" t="b">
        <v>1</v>
      </c>
    </row>
    <row r="54" spans="1:30">
      <c r="A54" t="s">
        <v>199</v>
      </c>
      <c r="B54" t="s">
        <v>200</v>
      </c>
      <c r="C54" t="s">
        <v>201</v>
      </c>
      <c r="D54" t="s">
        <v>19</v>
      </c>
      <c r="E54" t="s">
        <v>20</v>
      </c>
      <c r="F54" t="s">
        <v>202</v>
      </c>
      <c r="H54" t="s">
        <v>203</v>
      </c>
      <c r="J54">
        <v>3240</v>
      </c>
      <c r="L54" t="s">
        <v>180</v>
      </c>
      <c r="M54" t="s">
        <v>24</v>
      </c>
      <c r="N54" t="s">
        <v>25</v>
      </c>
      <c r="P54" s="11" t="s">
        <v>495</v>
      </c>
      <c r="Q54" s="12" t="s">
        <v>200</v>
      </c>
      <c r="R54" s="12" t="s">
        <v>200</v>
      </c>
      <c r="S54" s="12" t="b">
        <v>1</v>
      </c>
      <c r="T54" s="12" t="b">
        <v>1</v>
      </c>
      <c r="U54" s="12">
        <v>1</v>
      </c>
      <c r="V54" s="12" t="s">
        <v>201</v>
      </c>
      <c r="W54" s="12" t="s">
        <v>201</v>
      </c>
      <c r="X54" s="12" t="b">
        <v>1</v>
      </c>
      <c r="Y54" s="12" t="b">
        <v>1</v>
      </c>
      <c r="Z54" s="12">
        <v>1</v>
      </c>
      <c r="AA54" s="12">
        <v>0.7984</v>
      </c>
      <c r="AB54" s="12" t="s">
        <v>1202</v>
      </c>
      <c r="AC54" s="12" t="s">
        <v>1203</v>
      </c>
      <c r="AD54" s="13" t="b">
        <v>1</v>
      </c>
    </row>
    <row r="55" spans="1:30">
      <c r="A55" t="s">
        <v>204</v>
      </c>
      <c r="B55" t="s">
        <v>205</v>
      </c>
      <c r="C55" t="s">
        <v>206</v>
      </c>
      <c r="D55" t="s">
        <v>19</v>
      </c>
      <c r="E55" t="s">
        <v>20</v>
      </c>
      <c r="F55" t="s">
        <v>207</v>
      </c>
      <c r="H55" t="s">
        <v>208</v>
      </c>
      <c r="J55">
        <v>10566</v>
      </c>
      <c r="L55" t="s">
        <v>180</v>
      </c>
      <c r="M55" t="s">
        <v>24</v>
      </c>
      <c r="N55" t="s">
        <v>31</v>
      </c>
      <c r="P55" s="11" t="s">
        <v>497</v>
      </c>
      <c r="Q55" s="12" t="s">
        <v>205</v>
      </c>
      <c r="R55" s="12" t="s">
        <v>205</v>
      </c>
      <c r="S55" s="12" t="b">
        <v>1</v>
      </c>
      <c r="T55" s="12" t="b">
        <v>1</v>
      </c>
      <c r="U55" s="12">
        <v>1</v>
      </c>
      <c r="V55" s="12" t="s">
        <v>206</v>
      </c>
      <c r="W55" s="12" t="s">
        <v>206</v>
      </c>
      <c r="X55" s="12" t="b">
        <v>1</v>
      </c>
      <c r="Y55" s="12" t="b">
        <v>1</v>
      </c>
      <c r="Z55" s="12">
        <v>1</v>
      </c>
      <c r="AA55" s="12">
        <v>0.92989999999999995</v>
      </c>
      <c r="AB55" s="12" t="s">
        <v>1204</v>
      </c>
      <c r="AC55" s="12" t="s">
        <v>1205</v>
      </c>
      <c r="AD55" s="13" t="b">
        <v>1</v>
      </c>
    </row>
    <row r="56" spans="1:30">
      <c r="A56" t="s">
        <v>209</v>
      </c>
      <c r="B56" t="s">
        <v>210</v>
      </c>
      <c r="C56" t="s">
        <v>211</v>
      </c>
      <c r="D56" t="s">
        <v>19</v>
      </c>
      <c r="E56" t="s">
        <v>20</v>
      </c>
      <c r="F56" t="s">
        <v>212</v>
      </c>
      <c r="H56" t="s">
        <v>189</v>
      </c>
      <c r="J56">
        <v>9059</v>
      </c>
      <c r="L56" t="s">
        <v>180</v>
      </c>
      <c r="M56" t="s">
        <v>24</v>
      </c>
      <c r="N56" t="s">
        <v>25</v>
      </c>
      <c r="P56" s="11" t="s">
        <v>499</v>
      </c>
      <c r="Q56" s="12" t="s">
        <v>210</v>
      </c>
      <c r="R56" s="12" t="s">
        <v>210</v>
      </c>
      <c r="S56" s="12" t="b">
        <v>1</v>
      </c>
      <c r="T56" s="12" t="b">
        <v>1</v>
      </c>
      <c r="U56" s="12">
        <v>1</v>
      </c>
      <c r="V56" s="12" t="s">
        <v>211</v>
      </c>
      <c r="W56" s="12" t="s">
        <v>500</v>
      </c>
      <c r="X56" s="12" t="b">
        <v>0</v>
      </c>
      <c r="Y56" s="12" t="b">
        <v>1</v>
      </c>
      <c r="Z56" s="12">
        <v>3</v>
      </c>
      <c r="AA56" s="12">
        <v>0.81579999999999997</v>
      </c>
      <c r="AB56" s="12" t="s">
        <v>1206</v>
      </c>
      <c r="AC56" s="12" t="s">
        <v>1207</v>
      </c>
      <c r="AD56" s="13" t="b">
        <v>1</v>
      </c>
    </row>
    <row r="57" spans="1:30">
      <c r="A57" t="s">
        <v>213</v>
      </c>
      <c r="B57" t="s">
        <v>214</v>
      </c>
      <c r="C57" t="s">
        <v>215</v>
      </c>
      <c r="D57" t="s">
        <v>44</v>
      </c>
      <c r="E57" t="s">
        <v>20</v>
      </c>
      <c r="F57" t="s">
        <v>216</v>
      </c>
      <c r="H57" t="s">
        <v>217</v>
      </c>
      <c r="J57">
        <v>10523</v>
      </c>
      <c r="L57" t="s">
        <v>180</v>
      </c>
      <c r="M57" t="s">
        <v>24</v>
      </c>
      <c r="N57" t="s">
        <v>49</v>
      </c>
      <c r="P57" s="11" t="s">
        <v>502</v>
      </c>
      <c r="Q57" s="12" t="s">
        <v>214</v>
      </c>
      <c r="R57" s="12" t="s">
        <v>925</v>
      </c>
      <c r="S57" s="12" t="b">
        <v>0</v>
      </c>
      <c r="T57" s="12" t="b">
        <v>0</v>
      </c>
      <c r="U57" s="12"/>
      <c r="V57" s="12" t="s">
        <v>215</v>
      </c>
      <c r="W57" s="12" t="s">
        <v>505</v>
      </c>
      <c r="X57" s="12" t="b">
        <v>0</v>
      </c>
      <c r="Y57" s="12" t="b">
        <v>0</v>
      </c>
      <c r="Z57" s="12"/>
      <c r="AA57" s="12">
        <v>0.62719999999999998</v>
      </c>
      <c r="AB57" s="12" t="s">
        <v>1008</v>
      </c>
      <c r="AC57" s="12" t="s">
        <v>1208</v>
      </c>
      <c r="AD57" s="13" t="b">
        <v>1</v>
      </c>
    </row>
    <row r="58" spans="1:30">
      <c r="A58" t="s">
        <v>213</v>
      </c>
      <c r="B58" t="s">
        <v>214</v>
      </c>
      <c r="C58" t="s">
        <v>218</v>
      </c>
      <c r="D58" t="s">
        <v>19</v>
      </c>
      <c r="E58" t="s">
        <v>20</v>
      </c>
      <c r="F58" t="s">
        <v>216</v>
      </c>
      <c r="H58" t="s">
        <v>219</v>
      </c>
      <c r="J58">
        <v>10521</v>
      </c>
      <c r="L58" t="s">
        <v>180</v>
      </c>
      <c r="M58" t="s">
        <v>24</v>
      </c>
      <c r="N58" t="s">
        <v>49</v>
      </c>
      <c r="P58" s="11" t="s">
        <v>504</v>
      </c>
      <c r="Q58" s="12" t="s">
        <v>214</v>
      </c>
      <c r="R58" s="12" t="s">
        <v>925</v>
      </c>
      <c r="S58" s="12" t="b">
        <v>0</v>
      </c>
      <c r="T58" s="12" t="b">
        <v>0</v>
      </c>
      <c r="U58" s="12"/>
      <c r="V58" s="12" t="s">
        <v>218</v>
      </c>
      <c r="W58" s="12" t="s">
        <v>652</v>
      </c>
      <c r="X58" s="12" t="b">
        <v>0</v>
      </c>
      <c r="Y58" s="12" t="b">
        <v>0</v>
      </c>
      <c r="Z58" s="12"/>
      <c r="AA58" s="12">
        <v>0.68149999999999999</v>
      </c>
      <c r="AB58" s="12" t="s">
        <v>1209</v>
      </c>
      <c r="AC58" s="12" t="s">
        <v>1210</v>
      </c>
      <c r="AD58" s="13" t="b">
        <v>1</v>
      </c>
    </row>
    <row r="59" spans="1:30">
      <c r="A59" t="s">
        <v>220</v>
      </c>
      <c r="B59" t="s">
        <v>221</v>
      </c>
      <c r="C59" t="s">
        <v>222</v>
      </c>
      <c r="D59" t="s">
        <v>19</v>
      </c>
      <c r="E59" t="s">
        <v>20</v>
      </c>
      <c r="F59" t="s">
        <v>223</v>
      </c>
      <c r="H59" t="s">
        <v>22</v>
      </c>
      <c r="J59">
        <v>9770</v>
      </c>
      <c r="L59" t="s">
        <v>180</v>
      </c>
      <c r="M59" t="s">
        <v>24</v>
      </c>
      <c r="N59" t="s">
        <v>49</v>
      </c>
      <c r="P59" s="11" t="s">
        <v>507</v>
      </c>
      <c r="Q59" s="12" t="s">
        <v>221</v>
      </c>
      <c r="R59" s="12" t="s">
        <v>221</v>
      </c>
      <c r="S59" s="12" t="b">
        <v>1</v>
      </c>
      <c r="T59" s="12" t="b">
        <v>1</v>
      </c>
      <c r="U59" s="12">
        <v>1</v>
      </c>
      <c r="V59" s="12" t="s">
        <v>222</v>
      </c>
      <c r="W59" s="12" t="s">
        <v>222</v>
      </c>
      <c r="X59" s="12" t="b">
        <v>1</v>
      </c>
      <c r="Y59" s="12" t="b">
        <v>1</v>
      </c>
      <c r="Z59" s="12">
        <v>1</v>
      </c>
      <c r="AA59" s="12">
        <v>0.81420000000000003</v>
      </c>
      <c r="AB59" s="12" t="s">
        <v>1211</v>
      </c>
      <c r="AC59" s="12" t="s">
        <v>1212</v>
      </c>
      <c r="AD59" s="13" t="b">
        <v>1</v>
      </c>
    </row>
    <row r="60" spans="1:30">
      <c r="A60" t="s">
        <v>224</v>
      </c>
      <c r="B60" t="s">
        <v>148</v>
      </c>
      <c r="C60" t="s">
        <v>149</v>
      </c>
      <c r="D60" t="s">
        <v>19</v>
      </c>
      <c r="E60" t="s">
        <v>20</v>
      </c>
      <c r="F60" t="s">
        <v>225</v>
      </c>
      <c r="H60" t="s">
        <v>226</v>
      </c>
      <c r="J60">
        <v>15418</v>
      </c>
      <c r="L60" t="s">
        <v>180</v>
      </c>
      <c r="M60" t="s">
        <v>24</v>
      </c>
      <c r="N60" t="s">
        <v>25</v>
      </c>
      <c r="P60" s="11" t="s">
        <v>510</v>
      </c>
      <c r="Q60" s="12" t="s">
        <v>148</v>
      </c>
      <c r="R60" s="12" t="s">
        <v>148</v>
      </c>
      <c r="S60" s="12" t="b">
        <v>1</v>
      </c>
      <c r="T60" s="12" t="b">
        <v>1</v>
      </c>
      <c r="U60" s="12">
        <v>1</v>
      </c>
      <c r="V60" s="12" t="s">
        <v>149</v>
      </c>
      <c r="W60" s="12" t="s">
        <v>149</v>
      </c>
      <c r="X60" s="12" t="b">
        <v>1</v>
      </c>
      <c r="Y60" s="12" t="b">
        <v>1</v>
      </c>
      <c r="Z60" s="12">
        <v>1</v>
      </c>
      <c r="AA60" s="12">
        <v>0.69420000000000004</v>
      </c>
      <c r="AB60" s="12" t="s">
        <v>1179</v>
      </c>
      <c r="AC60" s="12" t="s">
        <v>1180</v>
      </c>
      <c r="AD60" s="13" t="b">
        <v>1</v>
      </c>
    </row>
    <row r="61" spans="1:30">
      <c r="A61" t="s">
        <v>227</v>
      </c>
      <c r="B61" t="s">
        <v>158</v>
      </c>
      <c r="C61" t="s">
        <v>159</v>
      </c>
      <c r="D61" t="s">
        <v>19</v>
      </c>
      <c r="E61" t="s">
        <v>20</v>
      </c>
      <c r="F61" t="s">
        <v>228</v>
      </c>
      <c r="H61" t="s">
        <v>229</v>
      </c>
      <c r="J61">
        <v>12829</v>
      </c>
      <c r="L61" t="s">
        <v>180</v>
      </c>
      <c r="M61" t="s">
        <v>24</v>
      </c>
      <c r="N61" t="s">
        <v>49</v>
      </c>
      <c r="P61" s="11" t="s">
        <v>512</v>
      </c>
      <c r="Q61" s="12" t="s">
        <v>158</v>
      </c>
      <c r="R61" s="12" t="s">
        <v>1010</v>
      </c>
      <c r="S61" s="12" t="b">
        <v>0</v>
      </c>
      <c r="T61" s="12" t="b">
        <v>1</v>
      </c>
      <c r="U61" s="12">
        <v>5</v>
      </c>
      <c r="V61" s="12" t="s">
        <v>159</v>
      </c>
      <c r="W61" s="12" t="s">
        <v>1213</v>
      </c>
      <c r="X61" s="12" t="b">
        <v>0</v>
      </c>
      <c r="Y61" s="12" t="b">
        <v>0</v>
      </c>
      <c r="Z61" s="12"/>
      <c r="AA61" s="12">
        <v>0.81979999999999997</v>
      </c>
      <c r="AB61" s="12" t="s">
        <v>1011</v>
      </c>
      <c r="AC61" s="12" t="s">
        <v>1214</v>
      </c>
      <c r="AD61" s="13" t="b">
        <v>1</v>
      </c>
    </row>
    <row r="62" spans="1:30">
      <c r="A62" t="s">
        <v>230</v>
      </c>
      <c r="B62" t="s">
        <v>231</v>
      </c>
      <c r="C62" t="s">
        <v>232</v>
      </c>
      <c r="D62" t="s">
        <v>127</v>
      </c>
      <c r="E62" t="s">
        <v>127</v>
      </c>
      <c r="F62" t="s">
        <v>233</v>
      </c>
      <c r="H62" t="s">
        <v>234</v>
      </c>
      <c r="J62">
        <v>23253</v>
      </c>
      <c r="L62" t="s">
        <v>180</v>
      </c>
      <c r="M62" t="s">
        <v>24</v>
      </c>
      <c r="N62" t="s">
        <v>49</v>
      </c>
      <c r="P62" s="11" t="s">
        <v>515</v>
      </c>
      <c r="Q62" s="12" t="s">
        <v>231</v>
      </c>
      <c r="R62" s="12" t="s">
        <v>233</v>
      </c>
      <c r="S62" s="12" t="b">
        <v>0</v>
      </c>
      <c r="T62" s="12" t="b">
        <v>0</v>
      </c>
      <c r="U62" s="12"/>
      <c r="V62" s="12" t="s">
        <v>232</v>
      </c>
      <c r="W62" s="12" t="s">
        <v>516</v>
      </c>
      <c r="X62" s="12" t="b">
        <v>0</v>
      </c>
      <c r="Y62" s="12" t="b">
        <v>0</v>
      </c>
      <c r="Z62" s="12"/>
      <c r="AA62" s="12">
        <v>0.95120000000000005</v>
      </c>
      <c r="AB62" s="12" t="s">
        <v>1215</v>
      </c>
      <c r="AC62" s="12" t="s">
        <v>1216</v>
      </c>
      <c r="AD62" s="13" t="b">
        <v>1</v>
      </c>
    </row>
    <row r="63" spans="1:30">
      <c r="A63" t="s">
        <v>235</v>
      </c>
      <c r="B63" t="s">
        <v>236</v>
      </c>
      <c r="C63" t="s">
        <v>237</v>
      </c>
      <c r="D63" t="s">
        <v>19</v>
      </c>
      <c r="E63" t="s">
        <v>20</v>
      </c>
      <c r="F63" t="s">
        <v>238</v>
      </c>
      <c r="H63" t="s">
        <v>239</v>
      </c>
      <c r="J63">
        <v>13567</v>
      </c>
      <c r="L63" t="s">
        <v>180</v>
      </c>
      <c r="M63" t="s">
        <v>24</v>
      </c>
      <c r="N63" t="s">
        <v>49</v>
      </c>
      <c r="P63" s="11" t="s">
        <v>518</v>
      </c>
      <c r="Q63" s="12" t="s">
        <v>236</v>
      </c>
      <c r="R63" s="12" t="s">
        <v>236</v>
      </c>
      <c r="S63" s="12" t="b">
        <v>1</v>
      </c>
      <c r="T63" s="12" t="b">
        <v>1</v>
      </c>
      <c r="U63" s="12">
        <v>1</v>
      </c>
      <c r="V63" s="12" t="s">
        <v>237</v>
      </c>
      <c r="W63" s="12" t="s">
        <v>237</v>
      </c>
      <c r="X63" s="12" t="b">
        <v>1</v>
      </c>
      <c r="Y63" s="12" t="b">
        <v>1</v>
      </c>
      <c r="Z63" s="12">
        <v>1</v>
      </c>
      <c r="AA63" s="12">
        <v>0.70169999999999999</v>
      </c>
      <c r="AB63" s="12" t="s">
        <v>1217</v>
      </c>
      <c r="AC63" s="12" t="s">
        <v>1218</v>
      </c>
      <c r="AD63" s="13" t="b">
        <v>1</v>
      </c>
    </row>
    <row r="64" spans="1:30">
      <c r="A64" t="s">
        <v>240</v>
      </c>
      <c r="B64" t="s">
        <v>241</v>
      </c>
      <c r="C64" t="s">
        <v>242</v>
      </c>
      <c r="D64" t="s">
        <v>19</v>
      </c>
      <c r="E64" t="s">
        <v>20</v>
      </c>
      <c r="F64" t="s">
        <v>243</v>
      </c>
      <c r="H64" t="s">
        <v>244</v>
      </c>
      <c r="J64">
        <v>11807</v>
      </c>
      <c r="L64" t="s">
        <v>180</v>
      </c>
      <c r="M64" t="s">
        <v>24</v>
      </c>
      <c r="N64" t="s">
        <v>31</v>
      </c>
      <c r="P64" s="11" t="s">
        <v>521</v>
      </c>
      <c r="Q64" s="12" t="s">
        <v>241</v>
      </c>
      <c r="R64" s="12" t="s">
        <v>241</v>
      </c>
      <c r="S64" s="12" t="b">
        <v>1</v>
      </c>
      <c r="T64" s="12" t="b">
        <v>1</v>
      </c>
      <c r="U64" s="12">
        <v>1</v>
      </c>
      <c r="V64" s="12" t="s">
        <v>242</v>
      </c>
      <c r="W64" s="12" t="s">
        <v>1219</v>
      </c>
      <c r="X64" s="12" t="b">
        <v>0</v>
      </c>
      <c r="Y64" s="12" t="b">
        <v>1</v>
      </c>
      <c r="Z64" s="12">
        <v>2</v>
      </c>
      <c r="AA64" s="12">
        <v>0.74680000000000002</v>
      </c>
      <c r="AB64" s="12" t="s">
        <v>1220</v>
      </c>
      <c r="AC64" s="12" t="s">
        <v>1221</v>
      </c>
      <c r="AD64" s="13" t="b">
        <v>1</v>
      </c>
    </row>
    <row r="65" spans="1:30">
      <c r="A65" t="s">
        <v>245</v>
      </c>
      <c r="B65" t="s">
        <v>246</v>
      </c>
      <c r="C65" t="s">
        <v>247</v>
      </c>
      <c r="D65" t="s">
        <v>19</v>
      </c>
      <c r="E65" t="s">
        <v>20</v>
      </c>
      <c r="F65" t="s">
        <v>248</v>
      </c>
      <c r="H65" t="s">
        <v>249</v>
      </c>
      <c r="J65">
        <v>14568</v>
      </c>
      <c r="L65" t="s">
        <v>180</v>
      </c>
      <c r="M65" t="s">
        <v>24</v>
      </c>
      <c r="N65" t="s">
        <v>31</v>
      </c>
      <c r="P65" s="11" t="s">
        <v>523</v>
      </c>
      <c r="Q65" s="12" t="s">
        <v>246</v>
      </c>
      <c r="R65" s="12" t="s">
        <v>246</v>
      </c>
      <c r="S65" s="12" t="b">
        <v>1</v>
      </c>
      <c r="T65" s="12" t="b">
        <v>1</v>
      </c>
      <c r="U65" s="12">
        <v>1</v>
      </c>
      <c r="V65" s="12" t="s">
        <v>247</v>
      </c>
      <c r="W65" s="12" t="s">
        <v>1222</v>
      </c>
      <c r="X65" s="12" t="b">
        <v>0</v>
      </c>
      <c r="Y65" s="12" t="b">
        <v>1</v>
      </c>
      <c r="Z65" s="12">
        <v>2</v>
      </c>
      <c r="AA65" s="12">
        <v>0.90249999999999997</v>
      </c>
      <c r="AB65" s="12" t="s">
        <v>1223</v>
      </c>
      <c r="AC65" s="12" t="s">
        <v>1224</v>
      </c>
      <c r="AD65" s="13" t="b">
        <v>1</v>
      </c>
    </row>
    <row r="66" spans="1:30">
      <c r="A66" t="s">
        <v>184</v>
      </c>
      <c r="B66" t="s">
        <v>185</v>
      </c>
      <c r="C66" t="s">
        <v>186</v>
      </c>
      <c r="D66" t="s">
        <v>19</v>
      </c>
      <c r="E66" t="s">
        <v>20</v>
      </c>
      <c r="F66" t="s">
        <v>184</v>
      </c>
      <c r="H66" t="s">
        <v>250</v>
      </c>
      <c r="K66" t="s">
        <v>251</v>
      </c>
      <c r="L66" t="s">
        <v>252</v>
      </c>
      <c r="M66" t="s">
        <v>24</v>
      </c>
      <c r="N66" t="s">
        <v>25</v>
      </c>
      <c r="P66" s="11" t="s">
        <v>526</v>
      </c>
      <c r="Q66" s="12" t="s">
        <v>185</v>
      </c>
      <c r="R66" s="12" t="s">
        <v>185</v>
      </c>
      <c r="S66" s="12" t="b">
        <v>1</v>
      </c>
      <c r="T66" s="12" t="b">
        <v>1</v>
      </c>
      <c r="U66" s="12">
        <v>1</v>
      </c>
      <c r="V66" s="12" t="s">
        <v>186</v>
      </c>
      <c r="W66" s="12" t="s">
        <v>186</v>
      </c>
      <c r="X66" s="12" t="b">
        <v>1</v>
      </c>
      <c r="Y66" s="12" t="b">
        <v>1</v>
      </c>
      <c r="Z66" s="12">
        <v>1</v>
      </c>
      <c r="AA66" s="12">
        <v>0.79410000000000003</v>
      </c>
      <c r="AB66" s="12" t="s">
        <v>1196</v>
      </c>
      <c r="AC66" s="12" t="s">
        <v>1197</v>
      </c>
      <c r="AD66" s="13" t="b">
        <v>1</v>
      </c>
    </row>
    <row r="67" spans="1:30">
      <c r="A67" t="s">
        <v>253</v>
      </c>
      <c r="B67" t="s">
        <v>214</v>
      </c>
      <c r="C67" t="s">
        <v>254</v>
      </c>
      <c r="D67" t="s">
        <v>127</v>
      </c>
      <c r="E67" t="s">
        <v>127</v>
      </c>
      <c r="F67" t="s">
        <v>253</v>
      </c>
      <c r="H67" t="s">
        <v>127</v>
      </c>
      <c r="K67">
        <v>1680</v>
      </c>
      <c r="L67" t="s">
        <v>252</v>
      </c>
      <c r="M67" t="s">
        <v>24</v>
      </c>
      <c r="N67" t="s">
        <v>31</v>
      </c>
      <c r="P67" s="11" t="s">
        <v>528</v>
      </c>
      <c r="Q67" s="12" t="s">
        <v>214</v>
      </c>
      <c r="R67" s="12" t="s">
        <v>214</v>
      </c>
      <c r="S67" s="12" t="b">
        <v>1</v>
      </c>
      <c r="T67" s="12" t="b">
        <v>1</v>
      </c>
      <c r="U67" s="12">
        <v>1</v>
      </c>
      <c r="V67" s="12" t="s">
        <v>254</v>
      </c>
      <c r="W67" s="12" t="s">
        <v>254</v>
      </c>
      <c r="X67" s="12" t="b">
        <v>1</v>
      </c>
      <c r="Y67" s="12" t="b">
        <v>1</v>
      </c>
      <c r="Z67" s="12">
        <v>1</v>
      </c>
      <c r="AA67" s="12">
        <v>1</v>
      </c>
      <c r="AB67" s="12" t="s">
        <v>1015</v>
      </c>
      <c r="AC67" s="12" t="s">
        <v>1225</v>
      </c>
      <c r="AD67" s="13" t="b">
        <v>1</v>
      </c>
    </row>
    <row r="68" spans="1:30">
      <c r="A68" t="s">
        <v>255</v>
      </c>
      <c r="B68" t="s">
        <v>256</v>
      </c>
      <c r="C68" t="s">
        <v>257</v>
      </c>
      <c r="D68" t="s">
        <v>79</v>
      </c>
      <c r="E68" t="s">
        <v>20</v>
      </c>
      <c r="F68" t="s">
        <v>258</v>
      </c>
      <c r="H68" t="s">
        <v>259</v>
      </c>
      <c r="K68" t="s">
        <v>260</v>
      </c>
      <c r="L68" t="s">
        <v>252</v>
      </c>
      <c r="M68" t="s">
        <v>24</v>
      </c>
      <c r="N68" t="s">
        <v>31</v>
      </c>
      <c r="P68" s="11" t="s">
        <v>530</v>
      </c>
      <c r="Q68" s="12" t="s">
        <v>256</v>
      </c>
      <c r="R68" s="12" t="s">
        <v>256</v>
      </c>
      <c r="S68" s="12" t="b">
        <v>1</v>
      </c>
      <c r="T68" s="12" t="b">
        <v>1</v>
      </c>
      <c r="U68" s="12">
        <v>1</v>
      </c>
      <c r="V68" s="12" t="s">
        <v>257</v>
      </c>
      <c r="W68" s="12" t="s">
        <v>257</v>
      </c>
      <c r="X68" s="12" t="b">
        <v>1</v>
      </c>
      <c r="Y68" s="12" t="b">
        <v>1</v>
      </c>
      <c r="Z68" s="12">
        <v>1</v>
      </c>
      <c r="AA68" s="12">
        <v>0.92749999999999999</v>
      </c>
      <c r="AB68" s="12" t="s">
        <v>1226</v>
      </c>
      <c r="AC68" s="12" t="s">
        <v>531</v>
      </c>
      <c r="AD68" s="13" t="b">
        <v>1</v>
      </c>
    </row>
    <row r="69" spans="1:30">
      <c r="A69" t="s">
        <v>261</v>
      </c>
      <c r="B69" t="s">
        <v>262</v>
      </c>
      <c r="C69" t="s">
        <v>263</v>
      </c>
      <c r="D69" t="s">
        <v>19</v>
      </c>
      <c r="E69" t="s">
        <v>20</v>
      </c>
      <c r="F69" t="s">
        <v>261</v>
      </c>
      <c r="H69" t="s">
        <v>189</v>
      </c>
      <c r="K69" t="s">
        <v>264</v>
      </c>
      <c r="L69" t="s">
        <v>252</v>
      </c>
      <c r="M69" t="s">
        <v>24</v>
      </c>
      <c r="N69" t="s">
        <v>31</v>
      </c>
      <c r="P69" s="11" t="s">
        <v>532</v>
      </c>
      <c r="Q69" s="12" t="s">
        <v>262</v>
      </c>
      <c r="R69" s="12" t="s">
        <v>262</v>
      </c>
      <c r="S69" s="12" t="b">
        <v>1</v>
      </c>
      <c r="T69" s="12" t="b">
        <v>1</v>
      </c>
      <c r="U69" s="12">
        <v>1</v>
      </c>
      <c r="V69" s="12" t="s">
        <v>263</v>
      </c>
      <c r="W69" s="12" t="s">
        <v>263</v>
      </c>
      <c r="X69" s="12" t="b">
        <v>1</v>
      </c>
      <c r="Y69" s="12" t="b">
        <v>1</v>
      </c>
      <c r="Z69" s="12">
        <v>1</v>
      </c>
      <c r="AA69" s="12">
        <v>0.92030000000000001</v>
      </c>
      <c r="AB69" s="12" t="s">
        <v>1227</v>
      </c>
      <c r="AC69" s="12" t="s">
        <v>1228</v>
      </c>
      <c r="AD69" s="13" t="b">
        <v>1</v>
      </c>
    </row>
    <row r="70" spans="1:30">
      <c r="A70" t="s">
        <v>265</v>
      </c>
      <c r="B70" t="s">
        <v>266</v>
      </c>
      <c r="C70" t="s">
        <v>267</v>
      </c>
      <c r="D70" t="s">
        <v>19</v>
      </c>
      <c r="E70" t="s">
        <v>20</v>
      </c>
      <c r="F70" t="s">
        <v>268</v>
      </c>
      <c r="H70" t="s">
        <v>269</v>
      </c>
      <c r="K70">
        <v>2207</v>
      </c>
      <c r="L70" t="s">
        <v>252</v>
      </c>
      <c r="M70" t="s">
        <v>24</v>
      </c>
      <c r="N70" t="s">
        <v>49</v>
      </c>
      <c r="P70" s="11" t="s">
        <v>534</v>
      </c>
      <c r="Q70" s="12" t="s">
        <v>266</v>
      </c>
      <c r="R70" s="12" t="s">
        <v>266</v>
      </c>
      <c r="S70" s="12" t="b">
        <v>1</v>
      </c>
      <c r="T70" s="12" t="b">
        <v>1</v>
      </c>
      <c r="U70" s="12">
        <v>1</v>
      </c>
      <c r="V70" s="12" t="s">
        <v>267</v>
      </c>
      <c r="W70" s="12" t="s">
        <v>1229</v>
      </c>
      <c r="X70" s="12" t="b">
        <v>0</v>
      </c>
      <c r="Y70" s="12" t="b">
        <v>1</v>
      </c>
      <c r="Z70" s="12">
        <v>2</v>
      </c>
      <c r="AA70" s="12">
        <v>0.65780000000000005</v>
      </c>
      <c r="AB70" s="12" t="s">
        <v>1230</v>
      </c>
      <c r="AC70" s="12" t="s">
        <v>1231</v>
      </c>
      <c r="AD70" s="13" t="b">
        <v>1</v>
      </c>
    </row>
    <row r="71" spans="1:30">
      <c r="A71" t="s">
        <v>270</v>
      </c>
      <c r="B71" t="s">
        <v>271</v>
      </c>
      <c r="C71" s="3" t="s">
        <v>272</v>
      </c>
      <c r="D71" t="s">
        <v>79</v>
      </c>
      <c r="E71" t="s">
        <v>20</v>
      </c>
      <c r="F71" t="s">
        <v>273</v>
      </c>
      <c r="H71" t="s">
        <v>259</v>
      </c>
      <c r="K71">
        <v>1915</v>
      </c>
      <c r="L71" t="s">
        <v>252</v>
      </c>
      <c r="M71" t="s">
        <v>24</v>
      </c>
      <c r="N71" t="s">
        <v>25</v>
      </c>
      <c r="P71" s="11" t="s">
        <v>536</v>
      </c>
      <c r="Q71" s="12" t="s">
        <v>271</v>
      </c>
      <c r="R71" s="12" t="s">
        <v>271</v>
      </c>
      <c r="S71" s="12" t="b">
        <v>1</v>
      </c>
      <c r="T71" s="12" t="b">
        <v>1</v>
      </c>
      <c r="U71" s="12">
        <v>1</v>
      </c>
      <c r="V71" s="12" t="s">
        <v>272</v>
      </c>
      <c r="W71" s="12" t="s">
        <v>272</v>
      </c>
      <c r="X71" s="12" t="b">
        <v>1</v>
      </c>
      <c r="Y71" s="12" t="b">
        <v>1</v>
      </c>
      <c r="Z71" s="12">
        <v>1</v>
      </c>
      <c r="AA71" s="12">
        <v>0.85</v>
      </c>
      <c r="AB71" s="12" t="s">
        <v>1232</v>
      </c>
      <c r="AC71" s="12" t="s">
        <v>1233</v>
      </c>
      <c r="AD71" s="13" t="b">
        <v>1</v>
      </c>
    </row>
    <row r="72" spans="1:30">
      <c r="A72" t="s">
        <v>274</v>
      </c>
      <c r="B72" t="s">
        <v>275</v>
      </c>
      <c r="C72" t="s">
        <v>276</v>
      </c>
      <c r="D72" t="s">
        <v>44</v>
      </c>
      <c r="E72" t="s">
        <v>20</v>
      </c>
      <c r="F72" t="s">
        <v>277</v>
      </c>
      <c r="H72" t="s">
        <v>278</v>
      </c>
      <c r="K72">
        <v>1926</v>
      </c>
      <c r="L72" t="s">
        <v>252</v>
      </c>
      <c r="M72" t="s">
        <v>24</v>
      </c>
      <c r="N72" t="s">
        <v>31</v>
      </c>
      <c r="P72" s="11" t="s">
        <v>538</v>
      </c>
      <c r="Q72" s="12" t="s">
        <v>275</v>
      </c>
      <c r="R72" s="12" t="s">
        <v>275</v>
      </c>
      <c r="S72" s="12" t="b">
        <v>1</v>
      </c>
      <c r="T72" s="12" t="b">
        <v>1</v>
      </c>
      <c r="U72" s="12">
        <v>1</v>
      </c>
      <c r="V72" s="12" t="s">
        <v>276</v>
      </c>
      <c r="W72" s="12" t="s">
        <v>276</v>
      </c>
      <c r="X72" s="12" t="b">
        <v>1</v>
      </c>
      <c r="Y72" s="12" t="b">
        <v>1</v>
      </c>
      <c r="Z72" s="12">
        <v>1</v>
      </c>
      <c r="AA72" s="12">
        <v>1</v>
      </c>
      <c r="AB72" s="12" t="s">
        <v>275</v>
      </c>
      <c r="AC72" s="12" t="s">
        <v>1234</v>
      </c>
      <c r="AD72" s="13" t="b">
        <v>1</v>
      </c>
    </row>
    <row r="73" spans="1:30">
      <c r="A73" t="s">
        <v>279</v>
      </c>
      <c r="B73" t="s">
        <v>280</v>
      </c>
      <c r="C73" t="s">
        <v>281</v>
      </c>
      <c r="D73" t="s">
        <v>79</v>
      </c>
      <c r="E73" t="s">
        <v>20</v>
      </c>
      <c r="F73" t="s">
        <v>282</v>
      </c>
      <c r="H73" t="s">
        <v>82</v>
      </c>
      <c r="K73" t="s">
        <v>283</v>
      </c>
      <c r="L73" t="s">
        <v>252</v>
      </c>
      <c r="M73" t="s">
        <v>24</v>
      </c>
      <c r="N73" t="s">
        <v>25</v>
      </c>
      <c r="P73" s="11" t="s">
        <v>540</v>
      </c>
      <c r="Q73" s="12" t="s">
        <v>280</v>
      </c>
      <c r="R73" s="12" t="s">
        <v>280</v>
      </c>
      <c r="S73" s="12" t="b">
        <v>1</v>
      </c>
      <c r="T73" s="12" t="b">
        <v>1</v>
      </c>
      <c r="U73" s="12">
        <v>1</v>
      </c>
      <c r="V73" s="12" t="s">
        <v>281</v>
      </c>
      <c r="W73" s="12" t="s">
        <v>541</v>
      </c>
      <c r="X73" s="12" t="b">
        <v>0</v>
      </c>
      <c r="Y73" s="12" t="b">
        <v>1</v>
      </c>
      <c r="Z73" s="12">
        <v>2</v>
      </c>
      <c r="AA73" s="12">
        <v>0.8044</v>
      </c>
      <c r="AB73" s="12" t="s">
        <v>1235</v>
      </c>
      <c r="AC73" s="12" t="s">
        <v>1236</v>
      </c>
      <c r="AD73" s="13" t="b">
        <v>1</v>
      </c>
    </row>
    <row r="74" spans="1:30">
      <c r="A74" t="s">
        <v>284</v>
      </c>
      <c r="B74" t="s">
        <v>285</v>
      </c>
      <c r="C74" t="s">
        <v>286</v>
      </c>
      <c r="D74" t="s">
        <v>127</v>
      </c>
      <c r="E74" t="s">
        <v>127</v>
      </c>
      <c r="F74" t="s">
        <v>284</v>
      </c>
      <c r="H74" t="s">
        <v>127</v>
      </c>
      <c r="K74">
        <v>1766</v>
      </c>
      <c r="L74" t="s">
        <v>252</v>
      </c>
      <c r="M74" t="s">
        <v>24</v>
      </c>
      <c r="N74" t="s">
        <v>25</v>
      </c>
      <c r="P74" s="11" t="s">
        <v>543</v>
      </c>
      <c r="Q74" s="12" t="s">
        <v>285</v>
      </c>
      <c r="R74" s="12" t="s">
        <v>285</v>
      </c>
      <c r="S74" s="12" t="b">
        <v>1</v>
      </c>
      <c r="T74" s="12" t="b">
        <v>1</v>
      </c>
      <c r="U74" s="12">
        <v>1</v>
      </c>
      <c r="V74" s="12" t="s">
        <v>286</v>
      </c>
      <c r="W74" s="12" t="s">
        <v>286</v>
      </c>
      <c r="X74" s="12" t="b">
        <v>1</v>
      </c>
      <c r="Y74" s="12" t="b">
        <v>1</v>
      </c>
      <c r="Z74" s="12">
        <v>1</v>
      </c>
      <c r="AA74" s="12">
        <v>0.96850000000000003</v>
      </c>
      <c r="AB74" s="12" t="s">
        <v>1019</v>
      </c>
      <c r="AC74" s="12" t="s">
        <v>1237</v>
      </c>
      <c r="AD74" s="13" t="b">
        <v>1</v>
      </c>
    </row>
    <row r="75" spans="1:30">
      <c r="A75" t="s">
        <v>287</v>
      </c>
      <c r="B75" t="s">
        <v>288</v>
      </c>
      <c r="C75" t="s">
        <v>289</v>
      </c>
      <c r="D75" t="s">
        <v>127</v>
      </c>
      <c r="E75" t="s">
        <v>127</v>
      </c>
      <c r="F75" t="s">
        <v>290</v>
      </c>
      <c r="H75" t="s">
        <v>127</v>
      </c>
      <c r="K75">
        <v>1687</v>
      </c>
      <c r="L75" t="s">
        <v>252</v>
      </c>
      <c r="M75" t="s">
        <v>24</v>
      </c>
      <c r="N75" t="s">
        <v>25</v>
      </c>
      <c r="P75" s="11" t="s">
        <v>545</v>
      </c>
      <c r="Q75" s="12" t="s">
        <v>288</v>
      </c>
      <c r="R75" s="12" t="s">
        <v>288</v>
      </c>
      <c r="S75" s="12" t="b">
        <v>1</v>
      </c>
      <c r="T75" s="12" t="b">
        <v>1</v>
      </c>
      <c r="U75" s="12">
        <v>1</v>
      </c>
      <c r="V75" s="12" t="s">
        <v>289</v>
      </c>
      <c r="W75" s="12" t="s">
        <v>289</v>
      </c>
      <c r="X75" s="12" t="b">
        <v>1</v>
      </c>
      <c r="Y75" s="12" t="b">
        <v>1</v>
      </c>
      <c r="Z75" s="12">
        <v>1</v>
      </c>
      <c r="AA75" s="12">
        <v>0.91749999999999998</v>
      </c>
      <c r="AB75" s="12" t="s">
        <v>1020</v>
      </c>
      <c r="AC75" s="12" t="s">
        <v>1238</v>
      </c>
      <c r="AD75" s="13" t="b">
        <v>1</v>
      </c>
    </row>
    <row r="76" spans="1:30">
      <c r="A76" t="s">
        <v>291</v>
      </c>
      <c r="B76" t="s">
        <v>292</v>
      </c>
      <c r="C76" t="s">
        <v>293</v>
      </c>
      <c r="D76" t="s">
        <v>19</v>
      </c>
      <c r="E76" t="s">
        <v>20</v>
      </c>
      <c r="F76" t="s">
        <v>291</v>
      </c>
      <c r="H76" t="s">
        <v>294</v>
      </c>
      <c r="K76" t="s">
        <v>295</v>
      </c>
      <c r="L76" t="s">
        <v>252</v>
      </c>
      <c r="M76" t="s">
        <v>24</v>
      </c>
      <c r="N76" t="s">
        <v>25</v>
      </c>
      <c r="P76" s="11" t="s">
        <v>548</v>
      </c>
      <c r="Q76" s="12" t="s">
        <v>292</v>
      </c>
      <c r="R76" s="12" t="s">
        <v>292</v>
      </c>
      <c r="S76" s="12" t="b">
        <v>1</v>
      </c>
      <c r="T76" s="12" t="b">
        <v>1</v>
      </c>
      <c r="U76" s="12">
        <v>1</v>
      </c>
      <c r="V76" s="12" t="s">
        <v>293</v>
      </c>
      <c r="W76" s="12" t="s">
        <v>293</v>
      </c>
      <c r="X76" s="12" t="b">
        <v>1</v>
      </c>
      <c r="Y76" s="12" t="b">
        <v>1</v>
      </c>
      <c r="Z76" s="12">
        <v>1</v>
      </c>
      <c r="AA76" s="12">
        <v>0.8</v>
      </c>
      <c r="AB76" s="12" t="s">
        <v>1239</v>
      </c>
      <c r="AC76" s="12" t="s">
        <v>1240</v>
      </c>
      <c r="AD76" s="13" t="b">
        <v>1</v>
      </c>
    </row>
    <row r="77" spans="1:30">
      <c r="A77" t="s">
        <v>296</v>
      </c>
      <c r="B77" t="s">
        <v>297</v>
      </c>
      <c r="C77" t="s">
        <v>298</v>
      </c>
      <c r="D77" t="s">
        <v>19</v>
      </c>
      <c r="E77" t="s">
        <v>20</v>
      </c>
      <c r="F77" t="s">
        <v>299</v>
      </c>
      <c r="H77" t="s">
        <v>300</v>
      </c>
      <c r="K77" t="s">
        <v>301</v>
      </c>
      <c r="L77" t="s">
        <v>252</v>
      </c>
      <c r="M77" t="s">
        <v>24</v>
      </c>
      <c r="N77" t="s">
        <v>25</v>
      </c>
      <c r="P77" s="11" t="s">
        <v>551</v>
      </c>
      <c r="Q77" s="12" t="s">
        <v>297</v>
      </c>
      <c r="R77" s="12" t="s">
        <v>297</v>
      </c>
      <c r="S77" s="12" t="b">
        <v>1</v>
      </c>
      <c r="T77" s="12" t="b">
        <v>1</v>
      </c>
      <c r="U77" s="12">
        <v>1</v>
      </c>
      <c r="V77" s="12" t="s">
        <v>298</v>
      </c>
      <c r="W77" s="12" t="s">
        <v>298</v>
      </c>
      <c r="X77" s="12" t="b">
        <v>1</v>
      </c>
      <c r="Y77" s="12" t="b">
        <v>1</v>
      </c>
      <c r="Z77" s="12">
        <v>1</v>
      </c>
      <c r="AA77" s="12">
        <v>0.84079999999999999</v>
      </c>
      <c r="AB77" s="12" t="s">
        <v>1241</v>
      </c>
      <c r="AC77" s="12" t="s">
        <v>1242</v>
      </c>
      <c r="AD77" s="13" t="b">
        <v>1</v>
      </c>
    </row>
    <row r="78" spans="1:30">
      <c r="A78" t="s">
        <v>302</v>
      </c>
      <c r="B78" t="s">
        <v>100</v>
      </c>
      <c r="C78" t="s">
        <v>303</v>
      </c>
      <c r="D78" t="s">
        <v>79</v>
      </c>
      <c r="E78" t="s">
        <v>79</v>
      </c>
      <c r="F78" t="s">
        <v>304</v>
      </c>
      <c r="H78" t="s">
        <v>82</v>
      </c>
      <c r="K78" t="s">
        <v>305</v>
      </c>
      <c r="L78" t="s">
        <v>252</v>
      </c>
      <c r="M78" t="s">
        <v>24</v>
      </c>
      <c r="N78" t="s">
        <v>31</v>
      </c>
      <c r="P78" s="11" t="s">
        <v>553</v>
      </c>
      <c r="Q78" s="12" t="s">
        <v>100</v>
      </c>
      <c r="R78" s="12" t="s">
        <v>100</v>
      </c>
      <c r="S78" s="12" t="b">
        <v>1</v>
      </c>
      <c r="T78" s="12" t="b">
        <v>1</v>
      </c>
      <c r="U78" s="12">
        <v>1</v>
      </c>
      <c r="V78" s="12" t="s">
        <v>303</v>
      </c>
      <c r="W78" s="12" t="s">
        <v>670</v>
      </c>
      <c r="X78" s="12" t="b">
        <v>0</v>
      </c>
      <c r="Y78" s="12" t="b">
        <v>0</v>
      </c>
      <c r="Z78" s="12">
        <v>7</v>
      </c>
      <c r="AA78" s="12">
        <v>0.91979999999999995</v>
      </c>
      <c r="AB78" s="12" t="s">
        <v>1243</v>
      </c>
      <c r="AC78" s="12" t="s">
        <v>1244</v>
      </c>
      <c r="AD78" s="13" t="b">
        <v>1</v>
      </c>
    </row>
    <row r="79" spans="1:30">
      <c r="A79" t="s">
        <v>306</v>
      </c>
      <c r="B79" t="s">
        <v>307</v>
      </c>
      <c r="C79" t="s">
        <v>308</v>
      </c>
      <c r="D79" t="s">
        <v>19</v>
      </c>
      <c r="E79" t="s">
        <v>20</v>
      </c>
      <c r="F79" t="s">
        <v>309</v>
      </c>
      <c r="H79" t="s">
        <v>310</v>
      </c>
      <c r="K79" t="s">
        <v>311</v>
      </c>
      <c r="L79" t="s">
        <v>252</v>
      </c>
      <c r="M79" t="s">
        <v>24</v>
      </c>
      <c r="N79" t="s">
        <v>25</v>
      </c>
      <c r="P79" s="11" t="s">
        <v>556</v>
      </c>
      <c r="Q79" s="12" t="s">
        <v>307</v>
      </c>
      <c r="R79" s="12" t="s">
        <v>307</v>
      </c>
      <c r="S79" s="12" t="b">
        <v>1</v>
      </c>
      <c r="T79" s="12" t="b">
        <v>1</v>
      </c>
      <c r="U79" s="12">
        <v>1</v>
      </c>
      <c r="V79" s="12" t="s">
        <v>308</v>
      </c>
      <c r="W79" s="12" t="s">
        <v>308</v>
      </c>
      <c r="X79" s="12" t="b">
        <v>1</v>
      </c>
      <c r="Y79" s="12" t="b">
        <v>1</v>
      </c>
      <c r="Z79" s="12">
        <v>1</v>
      </c>
      <c r="AA79" s="12">
        <v>0.79859999999999998</v>
      </c>
      <c r="AB79" s="12" t="s">
        <v>1245</v>
      </c>
      <c r="AC79" s="12" t="s">
        <v>1246</v>
      </c>
      <c r="AD79" s="13" t="b">
        <v>1</v>
      </c>
    </row>
    <row r="80" spans="1:30">
      <c r="A80" t="s">
        <v>184</v>
      </c>
      <c r="B80" t="s">
        <v>185</v>
      </c>
      <c r="C80" t="s">
        <v>186</v>
      </c>
      <c r="D80" t="s">
        <v>19</v>
      </c>
      <c r="E80" t="s">
        <v>20</v>
      </c>
      <c r="F80" t="s">
        <v>185</v>
      </c>
      <c r="L80" t="s">
        <v>312</v>
      </c>
      <c r="M80" t="s">
        <v>24</v>
      </c>
      <c r="N80" t="s">
        <v>25</v>
      </c>
      <c r="P80" s="11" t="s">
        <v>185</v>
      </c>
      <c r="Q80" s="12" t="s">
        <v>185</v>
      </c>
      <c r="R80" s="12" t="s">
        <v>185</v>
      </c>
      <c r="S80" s="12" t="b">
        <v>1</v>
      </c>
      <c r="T80" s="12" t="b">
        <v>1</v>
      </c>
      <c r="U80" s="12">
        <v>1</v>
      </c>
      <c r="V80" s="12" t="s">
        <v>186</v>
      </c>
      <c r="W80" s="12" t="s">
        <v>186</v>
      </c>
      <c r="X80" s="12" t="b">
        <v>1</v>
      </c>
      <c r="Y80" s="12" t="b">
        <v>1</v>
      </c>
      <c r="Z80" s="12">
        <v>1</v>
      </c>
      <c r="AA80" s="12">
        <v>0.98780000000000001</v>
      </c>
      <c r="AB80" s="12" t="s">
        <v>1023</v>
      </c>
      <c r="AC80" s="12" t="s">
        <v>1247</v>
      </c>
      <c r="AD80" s="13" t="b">
        <v>1</v>
      </c>
    </row>
    <row r="81" spans="1:30">
      <c r="A81" t="s">
        <v>313</v>
      </c>
      <c r="B81" t="s">
        <v>221</v>
      </c>
      <c r="C81" t="s">
        <v>314</v>
      </c>
      <c r="D81" t="s">
        <v>127</v>
      </c>
      <c r="E81" t="s">
        <v>127</v>
      </c>
      <c r="F81" t="s">
        <v>221</v>
      </c>
      <c r="L81" t="s">
        <v>312</v>
      </c>
      <c r="M81" t="s">
        <v>24</v>
      </c>
      <c r="N81" t="s">
        <v>25</v>
      </c>
      <c r="P81" s="11" t="s">
        <v>221</v>
      </c>
      <c r="Q81" s="12" t="s">
        <v>221</v>
      </c>
      <c r="R81" s="12" t="s">
        <v>221</v>
      </c>
      <c r="S81" s="12" t="b">
        <v>1</v>
      </c>
      <c r="T81" s="12" t="b">
        <v>1</v>
      </c>
      <c r="U81" s="12">
        <v>1</v>
      </c>
      <c r="V81" s="12" t="s">
        <v>314</v>
      </c>
      <c r="W81" s="12" t="s">
        <v>560</v>
      </c>
      <c r="X81" s="12" t="b">
        <v>0</v>
      </c>
      <c r="Y81" s="12" t="b">
        <v>1</v>
      </c>
      <c r="Z81" s="12">
        <v>4</v>
      </c>
      <c r="AA81" s="12">
        <v>1</v>
      </c>
      <c r="AB81" s="12" t="s">
        <v>221</v>
      </c>
      <c r="AC81" s="12" t="s">
        <v>1248</v>
      </c>
      <c r="AD81" s="13" t="b">
        <v>1</v>
      </c>
    </row>
    <row r="82" spans="1:30">
      <c r="A82" t="s">
        <v>315</v>
      </c>
      <c r="B82" t="s">
        <v>316</v>
      </c>
      <c r="C82" t="s">
        <v>317</v>
      </c>
      <c r="D82" t="s">
        <v>44</v>
      </c>
      <c r="E82" t="s">
        <v>20</v>
      </c>
      <c r="F82" t="s">
        <v>316</v>
      </c>
      <c r="L82" t="s">
        <v>312</v>
      </c>
      <c r="M82" t="s">
        <v>24</v>
      </c>
      <c r="N82" t="s">
        <v>25</v>
      </c>
      <c r="P82" s="11" t="s">
        <v>316</v>
      </c>
      <c r="Q82" s="12" t="s">
        <v>316</v>
      </c>
      <c r="R82" s="12" t="s">
        <v>316</v>
      </c>
      <c r="S82" s="12" t="b">
        <v>1</v>
      </c>
      <c r="T82" s="12" t="b">
        <v>1</v>
      </c>
      <c r="U82" s="12">
        <v>1</v>
      </c>
      <c r="V82" s="12" t="s">
        <v>317</v>
      </c>
      <c r="W82" s="12" t="s">
        <v>562</v>
      </c>
      <c r="X82" s="12" t="b">
        <v>0</v>
      </c>
      <c r="Y82" s="12" t="b">
        <v>1</v>
      </c>
      <c r="Z82" s="12">
        <v>4</v>
      </c>
      <c r="AA82" s="12">
        <v>1</v>
      </c>
      <c r="AB82" s="12" t="s">
        <v>1024</v>
      </c>
      <c r="AC82" s="12" t="s">
        <v>1249</v>
      </c>
      <c r="AD82" s="13" t="b">
        <v>1</v>
      </c>
    </row>
    <row r="83" spans="1:30">
      <c r="A83" t="s">
        <v>318</v>
      </c>
      <c r="B83" t="s">
        <v>316</v>
      </c>
      <c r="C83" t="s">
        <v>319</v>
      </c>
      <c r="D83" t="s">
        <v>127</v>
      </c>
      <c r="E83" t="s">
        <v>127</v>
      </c>
      <c r="F83" t="s">
        <v>316</v>
      </c>
      <c r="L83" t="s">
        <v>312</v>
      </c>
      <c r="M83" t="s">
        <v>24</v>
      </c>
      <c r="N83" t="s">
        <v>25</v>
      </c>
      <c r="P83" s="11" t="s">
        <v>316</v>
      </c>
      <c r="Q83" s="12" t="s">
        <v>316</v>
      </c>
      <c r="R83" s="12" t="s">
        <v>316</v>
      </c>
      <c r="S83" s="12" t="b">
        <v>1</v>
      </c>
      <c r="T83" s="12" t="b">
        <v>1</v>
      </c>
      <c r="U83" s="12">
        <v>1</v>
      </c>
      <c r="V83" s="12" t="s">
        <v>319</v>
      </c>
      <c r="W83" s="12" t="s">
        <v>562</v>
      </c>
      <c r="X83" s="12" t="b">
        <v>0</v>
      </c>
      <c r="Y83" s="12" t="b">
        <v>1</v>
      </c>
      <c r="Z83" s="12">
        <v>5</v>
      </c>
      <c r="AA83" s="12">
        <v>1</v>
      </c>
      <c r="AB83" s="12" t="s">
        <v>1024</v>
      </c>
      <c r="AC83" s="12" t="s">
        <v>1249</v>
      </c>
      <c r="AD83" s="13" t="b">
        <v>1</v>
      </c>
    </row>
    <row r="84" spans="1:30">
      <c r="A84" t="s">
        <v>320</v>
      </c>
      <c r="B84" t="s">
        <v>321</v>
      </c>
      <c r="C84" t="s">
        <v>322</v>
      </c>
      <c r="D84" t="s">
        <v>127</v>
      </c>
      <c r="E84" t="s">
        <v>127</v>
      </c>
      <c r="F84" t="s">
        <v>321</v>
      </c>
      <c r="L84" t="s">
        <v>312</v>
      </c>
      <c r="M84" t="s">
        <v>24</v>
      </c>
      <c r="N84" t="s">
        <v>25</v>
      </c>
      <c r="P84" s="11" t="s">
        <v>321</v>
      </c>
      <c r="Q84" s="12" t="s">
        <v>321</v>
      </c>
      <c r="R84" s="12" t="s">
        <v>321</v>
      </c>
      <c r="S84" s="12" t="b">
        <v>1</v>
      </c>
      <c r="T84" s="12" t="b">
        <v>1</v>
      </c>
      <c r="U84" s="12">
        <v>1</v>
      </c>
      <c r="V84" s="12" t="s">
        <v>322</v>
      </c>
      <c r="W84" s="12" t="s">
        <v>322</v>
      </c>
      <c r="X84" s="12" t="b">
        <v>1</v>
      </c>
      <c r="Y84" s="12" t="b">
        <v>1</v>
      </c>
      <c r="Z84" s="12">
        <v>1</v>
      </c>
      <c r="AA84" s="12">
        <v>1</v>
      </c>
      <c r="AB84" s="12" t="s">
        <v>1025</v>
      </c>
      <c r="AC84" s="12" t="s">
        <v>1250</v>
      </c>
      <c r="AD84" s="13" t="b">
        <v>1</v>
      </c>
    </row>
    <row r="85" spans="1:30">
      <c r="A85" t="s">
        <v>324</v>
      </c>
      <c r="B85" t="s">
        <v>148</v>
      </c>
      <c r="C85" t="s">
        <v>325</v>
      </c>
      <c r="D85" t="s">
        <v>79</v>
      </c>
      <c r="E85" t="s">
        <v>20</v>
      </c>
      <c r="F85" t="s">
        <v>148</v>
      </c>
      <c r="L85" t="s">
        <v>312</v>
      </c>
      <c r="M85" t="s">
        <v>24</v>
      </c>
      <c r="N85" t="s">
        <v>25</v>
      </c>
      <c r="P85" s="11" t="s">
        <v>148</v>
      </c>
      <c r="Q85" s="12" t="s">
        <v>148</v>
      </c>
      <c r="R85" s="12" t="s">
        <v>148</v>
      </c>
      <c r="S85" s="12" t="b">
        <v>1</v>
      </c>
      <c r="T85" s="12" t="b">
        <v>1</v>
      </c>
      <c r="U85" s="12">
        <v>1</v>
      </c>
      <c r="V85" s="12" t="s">
        <v>325</v>
      </c>
      <c r="W85" s="12" t="s">
        <v>149</v>
      </c>
      <c r="X85" s="12" t="b">
        <v>0</v>
      </c>
      <c r="Y85" s="12" t="b">
        <v>1</v>
      </c>
      <c r="Z85" s="12">
        <v>4</v>
      </c>
      <c r="AA85" s="12">
        <v>0.89759999999999995</v>
      </c>
      <c r="AB85" s="12" t="s">
        <v>1026</v>
      </c>
      <c r="AC85" s="12" t="s">
        <v>1180</v>
      </c>
      <c r="AD85" s="13" t="b">
        <v>1</v>
      </c>
    </row>
    <row r="86" spans="1:30">
      <c r="A86" t="s">
        <v>326</v>
      </c>
      <c r="B86" t="s">
        <v>100</v>
      </c>
      <c r="C86" t="s">
        <v>101</v>
      </c>
      <c r="D86" t="s">
        <v>44</v>
      </c>
      <c r="E86" t="s">
        <v>20</v>
      </c>
      <c r="F86" t="s">
        <v>100</v>
      </c>
      <c r="L86" t="s">
        <v>312</v>
      </c>
      <c r="M86" t="s">
        <v>24</v>
      </c>
      <c r="N86" t="s">
        <v>25</v>
      </c>
      <c r="P86" s="11" t="s">
        <v>100</v>
      </c>
      <c r="Q86" s="12" t="s">
        <v>100</v>
      </c>
      <c r="R86" s="12" t="s">
        <v>100</v>
      </c>
      <c r="S86" s="12" t="b">
        <v>1</v>
      </c>
      <c r="T86" s="12" t="b">
        <v>1</v>
      </c>
      <c r="U86" s="12">
        <v>1</v>
      </c>
      <c r="V86" s="12" t="s">
        <v>101</v>
      </c>
      <c r="W86" s="12" t="s">
        <v>554</v>
      </c>
      <c r="X86" s="12" t="b">
        <v>0</v>
      </c>
      <c r="Y86" s="12" t="b">
        <v>1</v>
      </c>
      <c r="Z86" s="12">
        <v>4</v>
      </c>
      <c r="AA86" s="12">
        <v>1</v>
      </c>
      <c r="AB86" s="12" t="s">
        <v>1027</v>
      </c>
      <c r="AC86" s="12" t="s">
        <v>1251</v>
      </c>
      <c r="AD86" s="13" t="b">
        <v>1</v>
      </c>
    </row>
    <row r="87" spans="1:30">
      <c r="A87" t="s">
        <v>199</v>
      </c>
      <c r="B87" t="s">
        <v>200</v>
      </c>
      <c r="C87" t="s">
        <v>201</v>
      </c>
      <c r="D87" t="s">
        <v>19</v>
      </c>
      <c r="E87" t="s">
        <v>20</v>
      </c>
      <c r="F87" t="s">
        <v>200</v>
      </c>
      <c r="L87" t="s">
        <v>312</v>
      </c>
      <c r="M87" t="s">
        <v>24</v>
      </c>
      <c r="N87" t="s">
        <v>25</v>
      </c>
      <c r="P87" s="11" t="s">
        <v>200</v>
      </c>
      <c r="Q87" s="12" t="s">
        <v>200</v>
      </c>
      <c r="R87" s="12" t="s">
        <v>200</v>
      </c>
      <c r="S87" s="12" t="b">
        <v>1</v>
      </c>
      <c r="T87" s="12" t="b">
        <v>1</v>
      </c>
      <c r="U87" s="12">
        <v>1</v>
      </c>
      <c r="V87" s="12" t="s">
        <v>201</v>
      </c>
      <c r="W87" s="12" t="s">
        <v>201</v>
      </c>
      <c r="X87" s="12" t="b">
        <v>1</v>
      </c>
      <c r="Y87" s="12" t="b">
        <v>1</v>
      </c>
      <c r="Z87" s="12">
        <v>1</v>
      </c>
      <c r="AA87" s="12">
        <v>0.95199999999999996</v>
      </c>
      <c r="AB87" s="12" t="s">
        <v>200</v>
      </c>
      <c r="AC87" s="12" t="s">
        <v>1203</v>
      </c>
      <c r="AD87" s="13" t="b">
        <v>1</v>
      </c>
    </row>
    <row r="88" spans="1:30">
      <c r="A88" t="s">
        <v>327</v>
      </c>
      <c r="B88" t="s">
        <v>328</v>
      </c>
      <c r="C88" t="s">
        <v>329</v>
      </c>
      <c r="D88" t="s">
        <v>127</v>
      </c>
      <c r="E88" t="s">
        <v>127</v>
      </c>
      <c r="F88" t="s">
        <v>328</v>
      </c>
      <c r="L88" t="s">
        <v>312</v>
      </c>
      <c r="M88" t="s">
        <v>24</v>
      </c>
      <c r="N88" t="s">
        <v>25</v>
      </c>
      <c r="P88" s="11" t="s">
        <v>328</v>
      </c>
      <c r="Q88" s="12" t="s">
        <v>328</v>
      </c>
      <c r="R88" s="12" t="s">
        <v>328</v>
      </c>
      <c r="S88" s="12" t="b">
        <v>1</v>
      </c>
      <c r="T88" s="12" t="b">
        <v>1</v>
      </c>
      <c r="U88" s="12">
        <v>1</v>
      </c>
      <c r="V88" s="12" t="s">
        <v>329</v>
      </c>
      <c r="W88" s="12" t="s">
        <v>329</v>
      </c>
      <c r="X88" s="12" t="b">
        <v>1</v>
      </c>
      <c r="Y88" s="12" t="b">
        <v>1</v>
      </c>
      <c r="Z88" s="12">
        <v>1</v>
      </c>
      <c r="AA88" s="12">
        <v>1</v>
      </c>
      <c r="AB88" s="12" t="s">
        <v>328</v>
      </c>
      <c r="AC88" s="12" t="s">
        <v>1252</v>
      </c>
      <c r="AD88" s="13" t="b">
        <v>1</v>
      </c>
    </row>
    <row r="89" spans="1:30">
      <c r="A89" t="s">
        <v>330</v>
      </c>
      <c r="B89" t="s">
        <v>331</v>
      </c>
      <c r="C89" t="s">
        <v>332</v>
      </c>
      <c r="D89" t="s">
        <v>79</v>
      </c>
      <c r="E89" t="s">
        <v>20</v>
      </c>
      <c r="G89" t="s">
        <v>330</v>
      </c>
      <c r="L89" t="s">
        <v>334</v>
      </c>
      <c r="M89" t="s">
        <v>24</v>
      </c>
      <c r="N89" t="s">
        <v>31</v>
      </c>
      <c r="P89" s="11" t="s">
        <v>330</v>
      </c>
      <c r="Q89" s="12" t="s">
        <v>331</v>
      </c>
      <c r="R89" s="12" t="s">
        <v>331</v>
      </c>
      <c r="S89" s="12" t="b">
        <v>1</v>
      </c>
      <c r="T89" s="12" t="b">
        <v>1</v>
      </c>
      <c r="U89" s="12">
        <v>1</v>
      </c>
      <c r="V89" s="12" t="s">
        <v>332</v>
      </c>
      <c r="W89" s="12" t="s">
        <v>332</v>
      </c>
      <c r="X89" s="12" t="b">
        <v>1</v>
      </c>
      <c r="Y89" s="12" t="b">
        <v>1</v>
      </c>
      <c r="Z89" s="12">
        <v>1</v>
      </c>
      <c r="AA89" s="12">
        <v>0.84140000000000004</v>
      </c>
      <c r="AB89" s="12" t="s">
        <v>1028</v>
      </c>
      <c r="AC89" s="12" t="s">
        <v>1253</v>
      </c>
      <c r="AD89" s="13" t="b">
        <v>1</v>
      </c>
    </row>
    <row r="90" spans="1:30">
      <c r="A90" t="s">
        <v>335</v>
      </c>
      <c r="B90" t="s">
        <v>335</v>
      </c>
      <c r="C90" t="s">
        <v>336</v>
      </c>
      <c r="D90" t="s">
        <v>79</v>
      </c>
      <c r="E90" t="s">
        <v>20</v>
      </c>
      <c r="G90" t="s">
        <v>338</v>
      </c>
      <c r="L90" t="s">
        <v>334</v>
      </c>
      <c r="M90" t="s">
        <v>24</v>
      </c>
      <c r="N90" t="s">
        <v>31</v>
      </c>
      <c r="P90" s="11" t="s">
        <v>338</v>
      </c>
      <c r="Q90" s="12" t="s">
        <v>335</v>
      </c>
      <c r="R90" s="12" t="s">
        <v>335</v>
      </c>
      <c r="S90" s="12" t="b">
        <v>1</v>
      </c>
      <c r="T90" s="12" t="b">
        <v>1</v>
      </c>
      <c r="U90" s="12">
        <v>1</v>
      </c>
      <c r="V90" s="12" t="s">
        <v>336</v>
      </c>
      <c r="W90" s="12" t="s">
        <v>336</v>
      </c>
      <c r="X90" s="12" t="b">
        <v>1</v>
      </c>
      <c r="Y90" s="12" t="b">
        <v>1</v>
      </c>
      <c r="Z90" s="12">
        <v>1</v>
      </c>
      <c r="AA90" s="12">
        <v>0.91279999999999994</v>
      </c>
      <c r="AB90" s="12" t="s">
        <v>1254</v>
      </c>
      <c r="AC90" s="12" t="s">
        <v>1255</v>
      </c>
      <c r="AD90" s="13" t="b">
        <v>1</v>
      </c>
    </row>
    <row r="91" spans="1:30">
      <c r="A91" t="s">
        <v>339</v>
      </c>
      <c r="B91" t="s">
        <v>340</v>
      </c>
      <c r="C91" t="s">
        <v>341</v>
      </c>
      <c r="D91" t="s">
        <v>127</v>
      </c>
      <c r="E91" t="s">
        <v>127</v>
      </c>
      <c r="G91" t="s">
        <v>342</v>
      </c>
      <c r="L91" t="s">
        <v>334</v>
      </c>
      <c r="M91" t="s">
        <v>24</v>
      </c>
      <c r="N91" t="s">
        <v>31</v>
      </c>
      <c r="P91" s="11" t="s">
        <v>342</v>
      </c>
      <c r="Q91" s="12" t="s">
        <v>340</v>
      </c>
      <c r="R91" s="12" t="s">
        <v>340</v>
      </c>
      <c r="S91" s="12" t="b">
        <v>1</v>
      </c>
      <c r="T91" s="12" t="b">
        <v>1</v>
      </c>
      <c r="U91" s="12">
        <v>1</v>
      </c>
      <c r="V91" s="12" t="s">
        <v>341</v>
      </c>
      <c r="W91" s="12" t="s">
        <v>341</v>
      </c>
      <c r="X91" s="12" t="b">
        <v>1</v>
      </c>
      <c r="Y91" s="12" t="b">
        <v>1</v>
      </c>
      <c r="Z91" s="12">
        <v>1</v>
      </c>
      <c r="AA91" s="12">
        <v>1</v>
      </c>
      <c r="AB91" s="12" t="s">
        <v>340</v>
      </c>
      <c r="AC91" s="12" t="s">
        <v>341</v>
      </c>
      <c r="AD91" s="13" t="b">
        <v>1</v>
      </c>
    </row>
    <row r="92" spans="1:30">
      <c r="A92" t="s">
        <v>343</v>
      </c>
      <c r="B92" t="s">
        <v>344</v>
      </c>
      <c r="C92" t="s">
        <v>345</v>
      </c>
      <c r="D92" t="s">
        <v>19</v>
      </c>
      <c r="E92" t="s">
        <v>20</v>
      </c>
      <c r="G92" t="s">
        <v>347</v>
      </c>
      <c r="L92" t="s">
        <v>334</v>
      </c>
      <c r="M92" t="s">
        <v>24</v>
      </c>
      <c r="N92" t="s">
        <v>25</v>
      </c>
      <c r="P92" s="11" t="s">
        <v>347</v>
      </c>
      <c r="Q92" s="12" t="s">
        <v>344</v>
      </c>
      <c r="R92" s="12" t="s">
        <v>344</v>
      </c>
      <c r="S92" s="12" t="b">
        <v>1</v>
      </c>
      <c r="T92" s="12" t="b">
        <v>1</v>
      </c>
      <c r="U92" s="12">
        <v>1</v>
      </c>
      <c r="V92" s="12" t="s">
        <v>345</v>
      </c>
      <c r="W92" s="12" t="s">
        <v>574</v>
      </c>
      <c r="X92" s="12" t="b">
        <v>0</v>
      </c>
      <c r="Y92" s="12" t="b">
        <v>1</v>
      </c>
      <c r="Z92" s="12">
        <v>2</v>
      </c>
      <c r="AA92" s="12">
        <v>0.8226</v>
      </c>
      <c r="AB92" s="12" t="s">
        <v>1030</v>
      </c>
      <c r="AC92" s="12" t="s">
        <v>1256</v>
      </c>
      <c r="AD92" s="13" t="b">
        <v>1</v>
      </c>
    </row>
    <row r="93" spans="1:30">
      <c r="A93" t="s">
        <v>348</v>
      </c>
      <c r="B93" t="s">
        <v>349</v>
      </c>
      <c r="C93" t="s">
        <v>350</v>
      </c>
      <c r="D93" t="s">
        <v>127</v>
      </c>
      <c r="E93" t="s">
        <v>127</v>
      </c>
      <c r="G93" t="s">
        <v>352</v>
      </c>
      <c r="L93" t="s">
        <v>334</v>
      </c>
      <c r="M93" t="s">
        <v>24</v>
      </c>
      <c r="N93" t="s">
        <v>25</v>
      </c>
      <c r="P93" s="11" t="s">
        <v>352</v>
      </c>
      <c r="Q93" s="12" t="s">
        <v>349</v>
      </c>
      <c r="R93" s="12" t="s">
        <v>349</v>
      </c>
      <c r="S93" s="12" t="b">
        <v>1</v>
      </c>
      <c r="T93" s="12" t="b">
        <v>1</v>
      </c>
      <c r="U93" s="12">
        <v>1</v>
      </c>
      <c r="V93" s="12" t="s">
        <v>350</v>
      </c>
      <c r="W93" s="12" t="s">
        <v>350</v>
      </c>
      <c r="X93" s="12" t="b">
        <v>1</v>
      </c>
      <c r="Y93" s="12" t="b">
        <v>1</v>
      </c>
      <c r="Z93" s="12">
        <v>1</v>
      </c>
      <c r="AA93" s="12">
        <v>0.96</v>
      </c>
      <c r="AB93" s="12" t="s">
        <v>1031</v>
      </c>
      <c r="AC93" s="12" t="s">
        <v>1257</v>
      </c>
      <c r="AD93" s="13" t="b">
        <v>1</v>
      </c>
    </row>
    <row r="94" spans="1:30">
      <c r="A94" t="s">
        <v>353</v>
      </c>
      <c r="B94" t="s">
        <v>241</v>
      </c>
      <c r="C94" t="s">
        <v>242</v>
      </c>
      <c r="D94" t="s">
        <v>19</v>
      </c>
      <c r="E94" t="s">
        <v>20</v>
      </c>
      <c r="G94" t="s">
        <v>355</v>
      </c>
      <c r="L94" t="s">
        <v>334</v>
      </c>
      <c r="M94" t="s">
        <v>24</v>
      </c>
      <c r="N94" t="s">
        <v>31</v>
      </c>
      <c r="P94" s="11" t="s">
        <v>355</v>
      </c>
      <c r="Q94" s="12" t="s">
        <v>241</v>
      </c>
      <c r="R94" s="12" t="s">
        <v>241</v>
      </c>
      <c r="S94" s="12" t="b">
        <v>1</v>
      </c>
      <c r="T94" s="12" t="b">
        <v>1</v>
      </c>
      <c r="U94" s="12">
        <v>1</v>
      </c>
      <c r="V94" s="12" t="s">
        <v>242</v>
      </c>
      <c r="W94" s="12" t="s">
        <v>1258</v>
      </c>
      <c r="X94" s="12" t="b">
        <v>0</v>
      </c>
      <c r="Y94" s="12" t="b">
        <v>1</v>
      </c>
      <c r="Z94" s="12">
        <v>3</v>
      </c>
      <c r="AA94" s="12">
        <v>0.74680000000000002</v>
      </c>
      <c r="AB94" s="12" t="s">
        <v>1032</v>
      </c>
      <c r="AC94" s="12" t="s">
        <v>1259</v>
      </c>
      <c r="AD94" s="13" t="b">
        <v>1</v>
      </c>
    </row>
    <row r="95" spans="1:30">
      <c r="A95" s="2" t="s">
        <v>356</v>
      </c>
      <c r="B95" s="2" t="s">
        <v>266</v>
      </c>
      <c r="C95" s="2" t="s">
        <v>357</v>
      </c>
      <c r="D95" s="2" t="s">
        <v>79</v>
      </c>
      <c r="E95" s="2" t="s">
        <v>20</v>
      </c>
      <c r="F95" s="2"/>
      <c r="G95" s="2" t="s">
        <v>358</v>
      </c>
      <c r="H95" s="2"/>
      <c r="I95" s="2"/>
      <c r="J95" s="2"/>
      <c r="K95" s="2"/>
      <c r="L95" s="2" t="s">
        <v>334</v>
      </c>
      <c r="M95" s="2" t="s">
        <v>24</v>
      </c>
      <c r="N95" s="2" t="s">
        <v>49</v>
      </c>
      <c r="O95" s="2"/>
      <c r="P95" s="11" t="s">
        <v>358</v>
      </c>
      <c r="Q95" s="12" t="s">
        <v>266</v>
      </c>
      <c r="R95" s="12" t="s">
        <v>266</v>
      </c>
      <c r="S95" s="12" t="b">
        <v>1</v>
      </c>
      <c r="T95" s="12" t="b">
        <v>1</v>
      </c>
      <c r="U95" s="12">
        <v>1</v>
      </c>
      <c r="V95" s="12" t="s">
        <v>357</v>
      </c>
      <c r="W95" s="12" t="s">
        <v>357</v>
      </c>
      <c r="X95" s="12" t="b">
        <v>1</v>
      </c>
      <c r="Y95" s="12" t="b">
        <v>1</v>
      </c>
      <c r="Z95" s="12">
        <v>1</v>
      </c>
      <c r="AA95" s="12">
        <v>0.76580000000000004</v>
      </c>
      <c r="AB95" s="12" t="s">
        <v>1260</v>
      </c>
      <c r="AC95" s="12" t="s">
        <v>1261</v>
      </c>
      <c r="AD95" s="13" t="b">
        <v>1</v>
      </c>
    </row>
    <row r="96" spans="1:30">
      <c r="A96" t="s">
        <v>359</v>
      </c>
      <c r="B96" t="s">
        <v>360</v>
      </c>
      <c r="C96" t="s">
        <v>361</v>
      </c>
      <c r="D96" t="s">
        <v>127</v>
      </c>
      <c r="E96" t="s">
        <v>127</v>
      </c>
      <c r="G96" t="s">
        <v>363</v>
      </c>
      <c r="L96" t="s">
        <v>334</v>
      </c>
      <c r="M96" t="s">
        <v>24</v>
      </c>
      <c r="N96" t="s">
        <v>25</v>
      </c>
      <c r="P96" s="11" t="s">
        <v>363</v>
      </c>
      <c r="Q96" s="12" t="s">
        <v>360</v>
      </c>
      <c r="R96" s="12" t="s">
        <v>360</v>
      </c>
      <c r="S96" s="12" t="b">
        <v>1</v>
      </c>
      <c r="T96" s="12" t="b">
        <v>1</v>
      </c>
      <c r="U96" s="12">
        <v>1</v>
      </c>
      <c r="V96" s="12" t="s">
        <v>361</v>
      </c>
      <c r="W96" s="12" t="s">
        <v>361</v>
      </c>
      <c r="X96" s="12" t="b">
        <v>1</v>
      </c>
      <c r="Y96" s="12" t="b">
        <v>1</v>
      </c>
      <c r="Z96" s="12">
        <v>1</v>
      </c>
      <c r="AA96" s="12">
        <v>0.97640000000000005</v>
      </c>
      <c r="AB96" s="12" t="s">
        <v>1262</v>
      </c>
      <c r="AC96" s="12" t="s">
        <v>1263</v>
      </c>
      <c r="AD96" s="13" t="b">
        <v>1</v>
      </c>
    </row>
    <row r="97" spans="1:30">
      <c r="A97" t="s">
        <v>364</v>
      </c>
      <c r="B97" t="s">
        <v>365</v>
      </c>
      <c r="C97" t="s">
        <v>366</v>
      </c>
      <c r="D97" t="s">
        <v>19</v>
      </c>
      <c r="E97" t="s">
        <v>20</v>
      </c>
      <c r="G97" t="s">
        <v>368</v>
      </c>
      <c r="L97" t="s">
        <v>334</v>
      </c>
      <c r="M97" t="s">
        <v>24</v>
      </c>
      <c r="N97" t="s">
        <v>25</v>
      </c>
      <c r="P97" s="11" t="s">
        <v>368</v>
      </c>
      <c r="Q97" s="12" t="s">
        <v>365</v>
      </c>
      <c r="R97" s="12" t="s">
        <v>1264</v>
      </c>
      <c r="S97" s="12" t="b">
        <v>0</v>
      </c>
      <c r="T97" s="12" t="b">
        <v>1</v>
      </c>
      <c r="U97" s="12">
        <v>2</v>
      </c>
      <c r="V97" s="12" t="s">
        <v>366</v>
      </c>
      <c r="W97" s="12" t="s">
        <v>1265</v>
      </c>
      <c r="X97" s="12" t="b">
        <v>0</v>
      </c>
      <c r="Y97" s="12" t="b">
        <v>0</v>
      </c>
      <c r="Z97" s="12"/>
      <c r="AA97" s="12">
        <v>0.84189999999999998</v>
      </c>
      <c r="AB97" s="12" t="s">
        <v>1266</v>
      </c>
      <c r="AC97" s="12" t="s">
        <v>1267</v>
      </c>
      <c r="AD97" s="13" t="b">
        <v>1</v>
      </c>
    </row>
    <row r="98" spans="1:30">
      <c r="A98" t="s">
        <v>37</v>
      </c>
      <c r="B98" t="s">
        <v>38</v>
      </c>
      <c r="C98" t="s">
        <v>369</v>
      </c>
      <c r="D98" t="s">
        <v>127</v>
      </c>
      <c r="E98" t="s">
        <v>127</v>
      </c>
      <c r="G98" t="s">
        <v>371</v>
      </c>
      <c r="L98" t="s">
        <v>372</v>
      </c>
      <c r="M98" t="s">
        <v>24</v>
      </c>
      <c r="N98" t="s">
        <v>31</v>
      </c>
      <c r="O98">
        <v>483</v>
      </c>
      <c r="P98" s="11" t="s">
        <v>371</v>
      </c>
      <c r="Q98" s="12" t="s">
        <v>38</v>
      </c>
      <c r="R98" s="12" t="s">
        <v>38</v>
      </c>
      <c r="S98" s="12" t="b">
        <v>1</v>
      </c>
      <c r="T98" s="12" t="b">
        <v>1</v>
      </c>
      <c r="U98" s="12">
        <v>1</v>
      </c>
      <c r="V98" s="12" t="s">
        <v>369</v>
      </c>
      <c r="W98" s="12" t="s">
        <v>369</v>
      </c>
      <c r="X98" s="12" t="b">
        <v>1</v>
      </c>
      <c r="Y98" s="12" t="b">
        <v>1</v>
      </c>
      <c r="Z98" s="12">
        <v>1</v>
      </c>
      <c r="AA98" s="12">
        <v>0.91559999999999997</v>
      </c>
      <c r="AB98" s="12" t="s">
        <v>1037</v>
      </c>
      <c r="AC98" s="12" t="s">
        <v>1268</v>
      </c>
      <c r="AD98" s="13" t="b">
        <v>1</v>
      </c>
    </row>
    <row r="99" spans="1:30">
      <c r="A99" t="s">
        <v>373</v>
      </c>
      <c r="B99" t="s">
        <v>271</v>
      </c>
      <c r="C99" t="s">
        <v>374</v>
      </c>
      <c r="D99" t="s">
        <v>127</v>
      </c>
      <c r="E99" t="s">
        <v>127</v>
      </c>
      <c r="G99" t="s">
        <v>375</v>
      </c>
      <c r="L99" t="s">
        <v>372</v>
      </c>
      <c r="M99" t="s">
        <v>24</v>
      </c>
      <c r="N99" t="s">
        <v>25</v>
      </c>
      <c r="O99">
        <v>483</v>
      </c>
      <c r="P99" s="11" t="s">
        <v>375</v>
      </c>
      <c r="Q99" s="12" t="s">
        <v>271</v>
      </c>
      <c r="R99" s="12" t="s">
        <v>271</v>
      </c>
      <c r="S99" s="12" t="b">
        <v>1</v>
      </c>
      <c r="T99" s="12" t="b">
        <v>1</v>
      </c>
      <c r="U99" s="12">
        <v>1</v>
      </c>
      <c r="V99" s="12" t="s">
        <v>374</v>
      </c>
      <c r="W99" s="12" t="s">
        <v>374</v>
      </c>
      <c r="X99" s="12" t="b">
        <v>1</v>
      </c>
      <c r="Y99" s="12" t="b">
        <v>1</v>
      </c>
      <c r="Z99" s="12">
        <v>1</v>
      </c>
      <c r="AA99" s="12">
        <v>0.95879999999999999</v>
      </c>
      <c r="AB99" s="12" t="s">
        <v>271</v>
      </c>
      <c r="AC99" s="12" t="s">
        <v>1269</v>
      </c>
      <c r="AD99" s="13" t="b">
        <v>1</v>
      </c>
    </row>
    <row r="100" spans="1:30">
      <c r="A100" t="s">
        <v>376</v>
      </c>
      <c r="B100" t="s">
        <v>377</v>
      </c>
      <c r="C100" t="s">
        <v>378</v>
      </c>
      <c r="D100" t="s">
        <v>379</v>
      </c>
      <c r="E100" t="s">
        <v>379</v>
      </c>
      <c r="G100" t="s">
        <v>381</v>
      </c>
      <c r="L100" t="s">
        <v>372</v>
      </c>
      <c r="M100" t="s">
        <v>24</v>
      </c>
      <c r="N100" t="s">
        <v>49</v>
      </c>
      <c r="O100">
        <v>483</v>
      </c>
      <c r="P100" s="11" t="s">
        <v>381</v>
      </c>
      <c r="Q100" s="12" t="s">
        <v>377</v>
      </c>
      <c r="R100" s="12" t="s">
        <v>377</v>
      </c>
      <c r="S100" s="12" t="b">
        <v>1</v>
      </c>
      <c r="T100" s="12" t="b">
        <v>1</v>
      </c>
      <c r="U100" s="12">
        <v>1</v>
      </c>
      <c r="V100" s="12" t="s">
        <v>378</v>
      </c>
      <c r="W100" s="12" t="s">
        <v>378</v>
      </c>
      <c r="X100" s="12" t="b">
        <v>1</v>
      </c>
      <c r="Y100" s="12" t="b">
        <v>1</v>
      </c>
      <c r="Z100" s="12">
        <v>1</v>
      </c>
      <c r="AA100" s="12">
        <v>0.56620000000000004</v>
      </c>
      <c r="AB100" s="12" t="s">
        <v>1270</v>
      </c>
      <c r="AC100" s="12" t="s">
        <v>1271</v>
      </c>
      <c r="AD100" s="13" t="b">
        <v>1</v>
      </c>
    </row>
    <row r="101" spans="1:30">
      <c r="A101" t="s">
        <v>382</v>
      </c>
      <c r="B101" t="s">
        <v>383</v>
      </c>
      <c r="C101" t="s">
        <v>384</v>
      </c>
      <c r="D101" t="s">
        <v>127</v>
      </c>
      <c r="E101" t="s">
        <v>127</v>
      </c>
      <c r="G101" t="s">
        <v>386</v>
      </c>
      <c r="L101" t="s">
        <v>372</v>
      </c>
      <c r="M101" t="s">
        <v>24</v>
      </c>
      <c r="N101" t="s">
        <v>31</v>
      </c>
      <c r="O101">
        <v>483</v>
      </c>
      <c r="P101" s="11" t="s">
        <v>386</v>
      </c>
      <c r="Q101" s="12" t="s">
        <v>383</v>
      </c>
      <c r="R101" s="12" t="s">
        <v>383</v>
      </c>
      <c r="S101" s="12" t="b">
        <v>1</v>
      </c>
      <c r="T101" s="12" t="b">
        <v>1</v>
      </c>
      <c r="U101" s="12">
        <v>1</v>
      </c>
      <c r="V101" s="12" t="s">
        <v>384</v>
      </c>
      <c r="W101" s="12" t="s">
        <v>384</v>
      </c>
      <c r="X101" s="12" t="b">
        <v>1</v>
      </c>
      <c r="Y101" s="12" t="b">
        <v>1</v>
      </c>
      <c r="Z101" s="12">
        <v>1</v>
      </c>
      <c r="AA101" s="12">
        <v>0.97550000000000003</v>
      </c>
      <c r="AB101" s="12" t="s">
        <v>1272</v>
      </c>
      <c r="AC101" s="12" t="s">
        <v>1273</v>
      </c>
      <c r="AD101" s="13" t="b">
        <v>1</v>
      </c>
    </row>
    <row r="102" spans="1:30">
      <c r="A102" t="s">
        <v>382</v>
      </c>
      <c r="B102" t="s">
        <v>383</v>
      </c>
      <c r="C102" t="s">
        <v>384</v>
      </c>
      <c r="D102" t="s">
        <v>127</v>
      </c>
      <c r="E102" t="s">
        <v>127</v>
      </c>
      <c r="G102" t="s">
        <v>387</v>
      </c>
      <c r="L102" t="s">
        <v>372</v>
      </c>
      <c r="M102" t="s">
        <v>24</v>
      </c>
      <c r="N102" t="s">
        <v>31</v>
      </c>
      <c r="O102">
        <v>483</v>
      </c>
      <c r="P102" s="11" t="s">
        <v>387</v>
      </c>
      <c r="Q102" s="12" t="s">
        <v>383</v>
      </c>
      <c r="R102" s="12" t="s">
        <v>383</v>
      </c>
      <c r="S102" s="12" t="b">
        <v>1</v>
      </c>
      <c r="T102" s="12" t="b">
        <v>1</v>
      </c>
      <c r="U102" s="12">
        <v>1</v>
      </c>
      <c r="V102" s="12" t="s">
        <v>384</v>
      </c>
      <c r="W102" s="12" t="s">
        <v>384</v>
      </c>
      <c r="X102" s="12" t="b">
        <v>1</v>
      </c>
      <c r="Y102" s="12" t="b">
        <v>1</v>
      </c>
      <c r="Z102" s="12">
        <v>1</v>
      </c>
      <c r="AA102" s="12">
        <v>0.97550000000000003</v>
      </c>
      <c r="AB102" s="12" t="s">
        <v>1272</v>
      </c>
      <c r="AC102" s="12" t="s">
        <v>1273</v>
      </c>
      <c r="AD102" s="13" t="b">
        <v>1</v>
      </c>
    </row>
    <row r="103" spans="1:30">
      <c r="A103" t="s">
        <v>388</v>
      </c>
      <c r="B103" t="s">
        <v>389</v>
      </c>
      <c r="C103" t="s">
        <v>390</v>
      </c>
      <c r="D103" t="s">
        <v>127</v>
      </c>
      <c r="E103" t="s">
        <v>127</v>
      </c>
      <c r="G103" t="s">
        <v>392</v>
      </c>
      <c r="L103" t="s">
        <v>372</v>
      </c>
      <c r="M103" t="s">
        <v>24</v>
      </c>
      <c r="N103" t="s">
        <v>25</v>
      </c>
      <c r="O103">
        <v>483</v>
      </c>
      <c r="P103" s="11" t="s">
        <v>392</v>
      </c>
      <c r="Q103" s="12" t="s">
        <v>389</v>
      </c>
      <c r="R103" s="12" t="s">
        <v>389</v>
      </c>
      <c r="S103" s="12" t="b">
        <v>1</v>
      </c>
      <c r="T103" s="12" t="b">
        <v>1</v>
      </c>
      <c r="U103" s="12">
        <v>1</v>
      </c>
      <c r="V103" s="12" t="s">
        <v>390</v>
      </c>
      <c r="W103" s="12" t="s">
        <v>390</v>
      </c>
      <c r="X103" s="12" t="b">
        <v>1</v>
      </c>
      <c r="Y103" s="12" t="b">
        <v>1</v>
      </c>
      <c r="Z103" s="12">
        <v>1</v>
      </c>
      <c r="AA103" s="12">
        <v>0.91830000000000001</v>
      </c>
      <c r="AB103" s="12" t="s">
        <v>1274</v>
      </c>
      <c r="AC103" s="12" t="s">
        <v>1275</v>
      </c>
      <c r="AD103" s="13" t="b">
        <v>1</v>
      </c>
    </row>
    <row r="104" spans="1:30">
      <c r="A104" t="s">
        <v>348</v>
      </c>
      <c r="B104" t="s">
        <v>349</v>
      </c>
      <c r="C104" t="s">
        <v>350</v>
      </c>
      <c r="D104" t="s">
        <v>127</v>
      </c>
      <c r="E104" t="s">
        <v>127</v>
      </c>
      <c r="G104" t="s">
        <v>352</v>
      </c>
      <c r="L104" t="s">
        <v>372</v>
      </c>
      <c r="M104" t="s">
        <v>24</v>
      </c>
      <c r="N104" t="s">
        <v>25</v>
      </c>
      <c r="O104">
        <v>483</v>
      </c>
      <c r="P104" s="11" t="s">
        <v>352</v>
      </c>
      <c r="Q104" s="12" t="s">
        <v>349</v>
      </c>
      <c r="R104" s="12" t="s">
        <v>349</v>
      </c>
      <c r="S104" s="12" t="b">
        <v>1</v>
      </c>
      <c r="T104" s="12" t="b">
        <v>1</v>
      </c>
      <c r="U104" s="12">
        <v>1</v>
      </c>
      <c r="V104" s="12" t="s">
        <v>350</v>
      </c>
      <c r="W104" s="12" t="s">
        <v>350</v>
      </c>
      <c r="X104" s="12" t="b">
        <v>1</v>
      </c>
      <c r="Y104" s="12" t="b">
        <v>1</v>
      </c>
      <c r="Z104" s="12">
        <v>1</v>
      </c>
      <c r="AA104" s="12">
        <v>0.96</v>
      </c>
      <c r="AB104" s="12" t="s">
        <v>1031</v>
      </c>
      <c r="AC104" s="12" t="s">
        <v>1257</v>
      </c>
      <c r="AD104" s="13" t="b">
        <v>1</v>
      </c>
    </row>
    <row r="105" spans="1:30">
      <c r="A105" t="s">
        <v>393</v>
      </c>
      <c r="B105" t="s">
        <v>344</v>
      </c>
      <c r="C105" t="s">
        <v>394</v>
      </c>
      <c r="D105" t="s">
        <v>127</v>
      </c>
      <c r="E105" t="s">
        <v>127</v>
      </c>
      <c r="G105" t="s">
        <v>395</v>
      </c>
      <c r="L105" t="s">
        <v>372</v>
      </c>
      <c r="M105" t="s">
        <v>24</v>
      </c>
      <c r="N105" t="s">
        <v>25</v>
      </c>
      <c r="O105">
        <v>483</v>
      </c>
      <c r="P105" s="11" t="s">
        <v>395</v>
      </c>
      <c r="Q105" s="12" t="s">
        <v>344</v>
      </c>
      <c r="R105" s="12" t="s">
        <v>344</v>
      </c>
      <c r="S105" s="12" t="b">
        <v>1</v>
      </c>
      <c r="T105" s="12" t="b">
        <v>1</v>
      </c>
      <c r="U105" s="12">
        <v>1</v>
      </c>
      <c r="V105" s="12" t="s">
        <v>394</v>
      </c>
      <c r="W105" s="12" t="s">
        <v>394</v>
      </c>
      <c r="X105" s="12" t="b">
        <v>1</v>
      </c>
      <c r="Y105" s="12" t="b">
        <v>1</v>
      </c>
      <c r="Z105" s="12">
        <v>1</v>
      </c>
      <c r="AA105" s="12">
        <v>0.91790000000000005</v>
      </c>
      <c r="AB105" s="12" t="s">
        <v>344</v>
      </c>
      <c r="AC105" s="12" t="s">
        <v>1276</v>
      </c>
      <c r="AD105" s="13" t="b">
        <v>1</v>
      </c>
    </row>
    <row r="106" spans="1:30">
      <c r="A106" t="s">
        <v>396</v>
      </c>
      <c r="B106" t="s">
        <v>397</v>
      </c>
      <c r="C106" t="s">
        <v>398</v>
      </c>
      <c r="D106" t="s">
        <v>127</v>
      </c>
      <c r="E106" t="s">
        <v>127</v>
      </c>
      <c r="G106" t="s">
        <v>400</v>
      </c>
      <c r="L106" t="s">
        <v>372</v>
      </c>
      <c r="M106" t="s">
        <v>24</v>
      </c>
      <c r="N106" t="s">
        <v>25</v>
      </c>
      <c r="O106">
        <v>483</v>
      </c>
      <c r="P106" s="11" t="s">
        <v>400</v>
      </c>
      <c r="Q106" s="12" t="s">
        <v>397</v>
      </c>
      <c r="R106" s="12" t="s">
        <v>397</v>
      </c>
      <c r="S106" s="12" t="b">
        <v>1</v>
      </c>
      <c r="T106" s="12" t="b">
        <v>1</v>
      </c>
      <c r="U106" s="12">
        <v>1</v>
      </c>
      <c r="V106" s="12" t="s">
        <v>398</v>
      </c>
      <c r="W106" s="12" t="s">
        <v>398</v>
      </c>
      <c r="X106" s="12" t="b">
        <v>1</v>
      </c>
      <c r="Y106" s="12" t="b">
        <v>1</v>
      </c>
      <c r="Z106" s="12">
        <v>1</v>
      </c>
      <c r="AA106" s="12">
        <v>0.8125</v>
      </c>
      <c r="AB106" s="12" t="s">
        <v>397</v>
      </c>
      <c r="AC106" s="12" t="s">
        <v>1277</v>
      </c>
      <c r="AD106" s="13" t="b">
        <v>1</v>
      </c>
    </row>
    <row r="107" spans="1:30">
      <c r="A107" t="s">
        <v>401</v>
      </c>
      <c r="B107" t="s">
        <v>397</v>
      </c>
      <c r="C107" t="s">
        <v>402</v>
      </c>
      <c r="D107" t="s">
        <v>379</v>
      </c>
      <c r="E107" t="s">
        <v>379</v>
      </c>
      <c r="G107" t="s">
        <v>403</v>
      </c>
      <c r="L107" t="s">
        <v>372</v>
      </c>
      <c r="M107" t="s">
        <v>24</v>
      </c>
      <c r="N107" t="s">
        <v>25</v>
      </c>
      <c r="O107">
        <v>483</v>
      </c>
      <c r="P107" s="11" t="s">
        <v>403</v>
      </c>
      <c r="Q107" s="12" t="s">
        <v>397</v>
      </c>
      <c r="R107" s="12" t="s">
        <v>397</v>
      </c>
      <c r="S107" s="12" t="b">
        <v>1</v>
      </c>
      <c r="T107" s="12" t="b">
        <v>1</v>
      </c>
      <c r="U107" s="12">
        <v>1</v>
      </c>
      <c r="V107" s="12" t="s">
        <v>402</v>
      </c>
      <c r="W107" s="12" t="s">
        <v>398</v>
      </c>
      <c r="X107" s="12" t="b">
        <v>0</v>
      </c>
      <c r="Y107" s="12" t="b">
        <v>1</v>
      </c>
      <c r="Z107" s="12">
        <v>2</v>
      </c>
      <c r="AA107" s="12">
        <v>0.8125</v>
      </c>
      <c r="AB107" s="12" t="s">
        <v>397</v>
      </c>
      <c r="AC107" s="12" t="s">
        <v>1277</v>
      </c>
      <c r="AD107" s="13" t="b">
        <v>1</v>
      </c>
    </row>
    <row r="108" spans="1:30">
      <c r="A108" t="s">
        <v>404</v>
      </c>
      <c r="B108" t="s">
        <v>405</v>
      </c>
      <c r="C108" t="s">
        <v>406</v>
      </c>
      <c r="D108" t="s">
        <v>127</v>
      </c>
      <c r="E108" t="s">
        <v>127</v>
      </c>
      <c r="G108" t="s">
        <v>404</v>
      </c>
      <c r="L108" t="s">
        <v>372</v>
      </c>
      <c r="M108" t="s">
        <v>24</v>
      </c>
      <c r="N108" t="s">
        <v>25</v>
      </c>
      <c r="O108">
        <v>483</v>
      </c>
      <c r="P108" s="11" t="s">
        <v>404</v>
      </c>
      <c r="Q108" s="12" t="s">
        <v>405</v>
      </c>
      <c r="R108" s="12" t="s">
        <v>405</v>
      </c>
      <c r="S108" s="12" t="b">
        <v>1</v>
      </c>
      <c r="T108" s="12" t="b">
        <v>1</v>
      </c>
      <c r="U108" s="12">
        <v>1</v>
      </c>
      <c r="V108" s="12" t="s">
        <v>406</v>
      </c>
      <c r="W108" s="12" t="s">
        <v>406</v>
      </c>
      <c r="X108" s="12" t="b">
        <v>1</v>
      </c>
      <c r="Y108" s="12" t="b">
        <v>1</v>
      </c>
      <c r="Z108" s="12">
        <v>1</v>
      </c>
      <c r="AA108" s="12">
        <v>0.85899999999999999</v>
      </c>
      <c r="AB108" s="12" t="s">
        <v>1278</v>
      </c>
      <c r="AC108" s="12" t="s">
        <v>1279</v>
      </c>
      <c r="AD108" s="13" t="b">
        <v>1</v>
      </c>
    </row>
    <row r="109" spans="1:30">
      <c r="A109" t="s">
        <v>408</v>
      </c>
      <c r="B109" t="s">
        <v>405</v>
      </c>
      <c r="C109" t="s">
        <v>409</v>
      </c>
      <c r="D109" t="s">
        <v>379</v>
      </c>
      <c r="E109" t="s">
        <v>379</v>
      </c>
      <c r="G109" t="s">
        <v>408</v>
      </c>
      <c r="L109" t="s">
        <v>372</v>
      </c>
      <c r="M109" t="s">
        <v>24</v>
      </c>
      <c r="N109" t="s">
        <v>25</v>
      </c>
      <c r="O109">
        <v>483</v>
      </c>
      <c r="P109" s="11" t="s">
        <v>408</v>
      </c>
      <c r="Q109" s="12" t="s">
        <v>405</v>
      </c>
      <c r="R109" s="12" t="s">
        <v>405</v>
      </c>
      <c r="S109" s="12" t="b">
        <v>1</v>
      </c>
      <c r="T109" s="12" t="b">
        <v>1</v>
      </c>
      <c r="U109" s="12">
        <v>1</v>
      </c>
      <c r="V109" s="12" t="s">
        <v>409</v>
      </c>
      <c r="W109" s="12" t="s">
        <v>409</v>
      </c>
      <c r="X109" s="12" t="b">
        <v>1</v>
      </c>
      <c r="Y109" s="12" t="b">
        <v>1</v>
      </c>
      <c r="Z109" s="12">
        <v>1</v>
      </c>
      <c r="AA109" s="12">
        <v>0.85899999999999999</v>
      </c>
      <c r="AB109" s="12" t="s">
        <v>1278</v>
      </c>
      <c r="AC109" s="12" t="s">
        <v>1280</v>
      </c>
      <c r="AD109" s="13" t="b">
        <v>1</v>
      </c>
    </row>
    <row r="110" spans="1:30">
      <c r="A110" t="s">
        <v>410</v>
      </c>
      <c r="B110" t="s">
        <v>595</v>
      </c>
      <c r="C110" t="s">
        <v>411</v>
      </c>
      <c r="D110" t="s">
        <v>127</v>
      </c>
      <c r="E110" t="s">
        <v>127</v>
      </c>
      <c r="G110" t="s">
        <v>412</v>
      </c>
      <c r="L110" t="s">
        <v>372</v>
      </c>
      <c r="M110" t="s">
        <v>24</v>
      </c>
      <c r="N110" t="s">
        <v>31</v>
      </c>
      <c r="O110">
        <v>483</v>
      </c>
      <c r="P110" s="11" t="s">
        <v>412</v>
      </c>
      <c r="Q110" s="12" t="s">
        <v>595</v>
      </c>
      <c r="R110" s="12" t="s">
        <v>595</v>
      </c>
      <c r="S110" s="12" t="b">
        <v>1</v>
      </c>
      <c r="T110" s="12" t="b">
        <v>1</v>
      </c>
      <c r="U110" s="12">
        <v>1</v>
      </c>
      <c r="V110" s="12" t="s">
        <v>411</v>
      </c>
      <c r="W110" s="12" t="s">
        <v>1281</v>
      </c>
      <c r="X110" s="12" t="b">
        <v>0</v>
      </c>
      <c r="Y110" s="12" t="b">
        <v>0</v>
      </c>
      <c r="Z110" s="12"/>
      <c r="AA110" s="12">
        <v>0.98040000000000005</v>
      </c>
      <c r="AB110" s="12" t="s">
        <v>1282</v>
      </c>
      <c r="AC110" s="12" t="s">
        <v>1283</v>
      </c>
      <c r="AD110" s="13" t="b">
        <v>1</v>
      </c>
    </row>
    <row r="111" spans="1:30">
      <c r="A111" t="s">
        <v>413</v>
      </c>
      <c r="B111" t="s">
        <v>331</v>
      </c>
      <c r="C111" t="s">
        <v>414</v>
      </c>
      <c r="D111" t="s">
        <v>127</v>
      </c>
      <c r="E111" t="s">
        <v>127</v>
      </c>
      <c r="G111" t="s">
        <v>415</v>
      </c>
      <c r="L111" t="s">
        <v>372</v>
      </c>
      <c r="M111" t="s">
        <v>24</v>
      </c>
      <c r="N111" t="s">
        <v>31</v>
      </c>
      <c r="O111">
        <v>483</v>
      </c>
      <c r="P111" s="14" t="s">
        <v>415</v>
      </c>
      <c r="Q111" s="15" t="s">
        <v>331</v>
      </c>
      <c r="R111" s="15" t="s">
        <v>331</v>
      </c>
      <c r="S111" s="15" t="b">
        <v>1</v>
      </c>
      <c r="T111" s="15" t="b">
        <v>1</v>
      </c>
      <c r="U111" s="15">
        <v>1</v>
      </c>
      <c r="V111" s="15" t="s">
        <v>414</v>
      </c>
      <c r="W111" s="15" t="s">
        <v>414</v>
      </c>
      <c r="X111" s="15" t="b">
        <v>1</v>
      </c>
      <c r="Y111" s="15" t="b">
        <v>1</v>
      </c>
      <c r="Z111" s="15">
        <v>1</v>
      </c>
      <c r="AA111" s="15">
        <v>0.93659999999999999</v>
      </c>
      <c r="AB111" s="15" t="s">
        <v>331</v>
      </c>
      <c r="AC111" s="15" t="s">
        <v>1284</v>
      </c>
      <c r="AD111" s="16" t="b">
        <v>1</v>
      </c>
    </row>
  </sheetData>
  <autoFilter ref="A15:AJ111" xr:uid="{5E0BE612-B831-4DFF-B4BD-4E14D20E8F9D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DFB4-D1CC-40B1-9C47-761E35530F5A}">
  <dimension ref="A1:AM111"/>
  <sheetViews>
    <sheetView topLeftCell="W1" workbookViewId="0">
      <selection activeCell="AI39" sqref="AI38:AI39"/>
    </sheetView>
  </sheetViews>
  <sheetFormatPr defaultRowHeight="15"/>
  <cols>
    <col min="1" max="1" width="23.28515625" customWidth="1"/>
    <col min="2" max="2" width="16.140625" customWidth="1"/>
    <col min="3" max="3" width="17.42578125" customWidth="1"/>
    <col min="4" max="4" width="13.7109375" customWidth="1"/>
    <col min="5" max="5" width="11.140625" customWidth="1"/>
    <col min="6" max="11" width="9.140625" bestFit="1" customWidth="1"/>
    <col min="12" max="12" width="16" bestFit="1" customWidth="1"/>
    <col min="13" max="14" width="9.140625" bestFit="1" customWidth="1"/>
    <col min="15" max="16" width="16.28515625" customWidth="1"/>
    <col min="17" max="17" width="20.85546875" customWidth="1"/>
    <col min="18" max="18" width="23.140625" customWidth="1"/>
    <col min="19" max="20" width="9.140625" bestFit="1" customWidth="1"/>
    <col min="21" max="21" width="9.28515625" customWidth="1"/>
    <col min="22" max="22" width="23" customWidth="1"/>
    <col min="23" max="23" width="21.42578125" customWidth="1"/>
    <col min="24" max="24" width="10.140625" customWidth="1"/>
    <col min="25" max="25" width="9.140625" bestFit="1" customWidth="1"/>
    <col min="26" max="26" width="11.42578125" customWidth="1"/>
    <col min="27" max="29" width="9.140625" bestFit="1" customWidth="1"/>
    <col min="30" max="30" width="12" customWidth="1"/>
    <col min="31" max="31" width="29.140625" customWidth="1"/>
    <col min="32" max="32" width="9.140625" bestFit="1" customWidth="1"/>
    <col min="33" max="33" width="14.85546875" customWidth="1"/>
    <col min="34" max="34" width="9.42578125" customWidth="1"/>
    <col min="35" max="35" width="15.140625" customWidth="1"/>
    <col min="36" max="36" width="12.5703125" customWidth="1"/>
  </cols>
  <sheetData>
    <row r="1" spans="1:39">
      <c r="AF1" t="s">
        <v>1101</v>
      </c>
      <c r="AL1" t="s">
        <v>31</v>
      </c>
    </row>
    <row r="2" spans="1:39">
      <c r="AF2" t="str" cm="1">
        <f t="array" ref="AF2:AF8">_xlfn.UNIQUE(L16:L507)</f>
        <v>us bank cashfile</v>
      </c>
      <c r="AH2">
        <f>COUNTIFS($N$16:$N$500,"Company Match", L$16:L$500, AF2)</f>
        <v>14</v>
      </c>
      <c r="AI2">
        <f>COUNTIFS($N$16:$N$507,"Company Match", L$16:L$507, AF2, S$16:S$507, TRUE)</f>
        <v>13</v>
      </c>
      <c r="AJ2" s="21">
        <f>AI2/AH2</f>
        <v>0.9285714285714286</v>
      </c>
      <c r="AL2">
        <f>COUNTIFS($N$16:$N$500,"Security Match", L$16:L$500, AF2)</f>
        <v>12</v>
      </c>
      <c r="AM2">
        <f>COUNTIFS($N$16:$N$507,"Security Match", L$16:L$507, AF2, S$16:S$507, TRUE)</f>
        <v>12</v>
      </c>
    </row>
    <row r="3" spans="1:39">
      <c r="AF3" t="str">
        <v>watc_holdings</v>
      </c>
      <c r="AH3">
        <f>COUNTIFS($N$16:$N$500,"Company Match", L$16:L$500, AF3)</f>
        <v>7</v>
      </c>
      <c r="AI3">
        <f>COUNTIFS($N$16:$N$507,"Company Match", L$16:L$507, AF3, S$16:S$507, TRUE)</f>
        <v>6</v>
      </c>
      <c r="AJ3" s="21">
        <f>AI3/AH3</f>
        <v>0.8571428571428571</v>
      </c>
      <c r="AL3">
        <f>COUNTIFS($N$16:$N$500,"Security Match", L$16:L$500, AF3)</f>
        <v>5</v>
      </c>
      <c r="AM3">
        <f>COUNTIFS($N$16:$N$507,"Security Match", L$16:L$507, AF3, S$16:S$507, TRUE)</f>
        <v>5</v>
      </c>
    </row>
    <row r="4" spans="1:39">
      <c r="AF4" t="str">
        <v>market_value</v>
      </c>
      <c r="AH4">
        <f>COUNTIFS($N$16:$N$500,"Company Match", L$16:L$500, AF4)</f>
        <v>8</v>
      </c>
      <c r="AI4">
        <f>COUNTIFS($N$16:$N$507,"Company Match", L$16:L$507, AF4, S$16:S$507, TRUE)</f>
        <v>7</v>
      </c>
      <c r="AJ4" s="21">
        <f>AI4/AH4</f>
        <v>0.875</v>
      </c>
      <c r="AL4">
        <f>COUNTIFS($N$16:$N$500,"Security Match", L$16:L$500, AF4)</f>
        <v>5</v>
      </c>
      <c r="AM4">
        <f>COUNTIFS($N$16:$N$507,"Security Match", L$16:L$507, AF4, S$16:S$507, TRUE)</f>
        <v>5</v>
      </c>
    </row>
    <row r="5" spans="1:39">
      <c r="AF5" t="str">
        <v>master_ratings</v>
      </c>
      <c r="AH5">
        <f>COUNTIFS($N$16:$N$500,"Company Match", L$16:L$500, AF5)</f>
        <v>9</v>
      </c>
      <c r="AI5">
        <f>COUNTIFS($N$16:$N$507,"Company Match", L$16:L$507, AF5, S$16:S$507, TRUE)</f>
        <v>9</v>
      </c>
      <c r="AJ5" s="21">
        <f>AI5/AH5</f>
        <v>1</v>
      </c>
      <c r="AL5">
        <f>COUNTIFS($N$16:$N$500,"Security Match", L$16:L$500, AF5)</f>
        <v>0</v>
      </c>
      <c r="AM5">
        <f>COUNTIFS($N$16:$N$507,"Security Match", L$16:L$507, AF5, S$16:S$507, TRUE)</f>
        <v>0</v>
      </c>
    </row>
    <row r="6" spans="1:39">
      <c r="AF6" t="str">
        <v>consolidated_soi</v>
      </c>
      <c r="AH6">
        <f>COUNTIFS($N$16:$N$500,"Company Match", L$16:L$500, AF6)</f>
        <v>4</v>
      </c>
      <c r="AI6">
        <f>COUNTIFS($N$16:$N$507,"Company Match", L$16:L$507, AF6, S$16:S$507, TRUE)</f>
        <v>2</v>
      </c>
      <c r="AJ6" s="21">
        <f>AI6/AH6</f>
        <v>0.5</v>
      </c>
      <c r="AL6">
        <f>COUNTIFS($N$16:$N$500,"Security Match", L$16:L$500, AF6)</f>
        <v>4</v>
      </c>
      <c r="AM6">
        <f>COUNTIFS($N$16:$N$507,"Security Match", L$16:L$507, AF6, S$16:S$507, TRUE)</f>
        <v>4</v>
      </c>
    </row>
    <row r="7" spans="1:39">
      <c r="AF7" t="str">
        <v>daily_long_short</v>
      </c>
      <c r="AH7">
        <f>COUNTIFS($N$16:$N$500,"Company Match", L$16:L$500, AF7)</f>
        <v>8</v>
      </c>
      <c r="AI7">
        <f>COUNTIFS($N$16:$N$507,"Company Match", L$16:L$507, AF7, S$16:S$507, TRUE)</f>
        <v>8</v>
      </c>
      <c r="AJ7" s="21">
        <f>AI7/AH7</f>
        <v>1</v>
      </c>
      <c r="AL7">
        <f>COUNTIFS($N$16:$N$500,"Security Match", L$16:L$500, AF7)</f>
        <v>5</v>
      </c>
      <c r="AM7">
        <f>COUNTIFS($N$16:$N$507,"Security Match", L$16:L$507, AF7, S$16:S$507, TRUE)</f>
        <v>5</v>
      </c>
    </row>
    <row r="8" spans="1:39">
      <c r="AF8">
        <v>0</v>
      </c>
    </row>
    <row r="10" spans="1:39">
      <c r="AE10" s="25" t="s">
        <v>981</v>
      </c>
      <c r="AF10" s="25" t="s">
        <v>982</v>
      </c>
      <c r="AG10" s="25" t="s">
        <v>1102</v>
      </c>
      <c r="AH10" s="25" t="s">
        <v>984</v>
      </c>
      <c r="AI10" s="25" t="s">
        <v>1103</v>
      </c>
      <c r="AJ10" s="25" t="s">
        <v>984</v>
      </c>
    </row>
    <row r="11" spans="1:39">
      <c r="AE11" s="26" t="s">
        <v>25</v>
      </c>
      <c r="AF11" s="28">
        <f>COUNTIF($N$16:$N$111,"Company Match")</f>
        <v>50</v>
      </c>
      <c r="AG11" s="28">
        <f>COUNTIFS($N$16:$N$111,"Company Match",$S$16:$S$111,TRUE)</f>
        <v>45</v>
      </c>
      <c r="AH11" s="29">
        <f>IF(AF11&gt;0,AG11/AF11,0)</f>
        <v>0.9</v>
      </c>
      <c r="AI11" s="28">
        <f>COUNTIFS($N$16:$N$127,"Company Match",$X$16:$X$127,TRUE)</f>
        <v>35</v>
      </c>
      <c r="AJ11" s="29">
        <f>IF(AF11&gt;0,AI11/AF11,0)</f>
        <v>0.7</v>
      </c>
    </row>
    <row r="12" spans="1:39">
      <c r="AE12" s="26" t="s">
        <v>31</v>
      </c>
      <c r="AF12" s="28">
        <f>COUNTIF($N$16:$N$111,"Security Match")</f>
        <v>31</v>
      </c>
      <c r="AG12" s="28">
        <f>COUNTIFS($N$16:$N$111,"Security Match",$S$16:$S$111,TRUE)</f>
        <v>31</v>
      </c>
      <c r="AH12" s="29">
        <f>IF(AF12&gt;0,AG12/AF12,0)</f>
        <v>1</v>
      </c>
      <c r="AI12" s="28">
        <f>COUNTIFS($N$16:$N$127,"Security Match",$X$16:$X$127,TRUE)</f>
        <v>25</v>
      </c>
      <c r="AJ12" s="29">
        <f>IF(AF12&gt;0,AI12/AF12,0)</f>
        <v>0.80645161290322576</v>
      </c>
    </row>
    <row r="13" spans="1:39">
      <c r="AE13" s="27" t="s">
        <v>985</v>
      </c>
      <c r="AF13" s="30">
        <f>SUM(AF11:AF12)</f>
        <v>81</v>
      </c>
      <c r="AG13" s="30">
        <f>SUM(AG11:AG12)</f>
        <v>76</v>
      </c>
      <c r="AH13" s="31">
        <f>IF(AF13&gt;0,AG13/AF13,0)</f>
        <v>0.93827160493827155</v>
      </c>
      <c r="AI13" s="30">
        <f>SUM(AI11:AI12)</f>
        <v>60</v>
      </c>
      <c r="AJ13" s="31">
        <f>IF(AF13&gt;0,AI13/AF13,0)</f>
        <v>0.7407407407407407</v>
      </c>
    </row>
    <row r="14" spans="1:39">
      <c r="AE14" s="26" t="s">
        <v>49</v>
      </c>
      <c r="AF14" s="28">
        <f>COUNTIF($N$16:$N$127,"Company Knowledge Match")</f>
        <v>15</v>
      </c>
      <c r="AG14" s="28">
        <f>COUNTIFS($N$16:$N$127,"Company Knowledge Match",$S$16:$S$127,TRUE)</f>
        <v>5</v>
      </c>
      <c r="AH14" s="29">
        <f>IF(AF14&gt;0,AG14/AF14,0)</f>
        <v>0.33333333333333331</v>
      </c>
      <c r="AI14" s="28">
        <f>COUNTIFS($N$16:$N$127,"Company Knowledge Match",$X$16:$X$127,TRUE)</f>
        <v>3</v>
      </c>
      <c r="AJ14" s="29">
        <f>IF(AF14&gt;0,AI14/AF14,0)</f>
        <v>0.2</v>
      </c>
    </row>
    <row r="15" spans="1:39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9" t="s">
        <v>698</v>
      </c>
      <c r="Q15" s="20" t="s">
        <v>878</v>
      </c>
      <c r="R15" s="20" t="s">
        <v>879</v>
      </c>
      <c r="S15" s="20" t="s">
        <v>880</v>
      </c>
      <c r="T15" s="20" t="s">
        <v>882</v>
      </c>
      <c r="U15" s="20" t="s">
        <v>883</v>
      </c>
      <c r="V15" s="20" t="s">
        <v>1104</v>
      </c>
      <c r="W15" s="20" t="s">
        <v>1105</v>
      </c>
      <c r="X15" s="20" t="s">
        <v>1106</v>
      </c>
      <c r="Y15" s="20" t="s">
        <v>1107</v>
      </c>
      <c r="Z15" s="20" t="s">
        <v>1108</v>
      </c>
      <c r="AA15" s="20" t="s">
        <v>1109</v>
      </c>
      <c r="AB15" s="20" t="s">
        <v>1110</v>
      </c>
      <c r="AC15" s="20" t="s">
        <v>1111</v>
      </c>
      <c r="AD15" s="20" t="s">
        <v>705</v>
      </c>
    </row>
    <row r="16" spans="1:39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16</v>
      </c>
      <c r="G16" t="s">
        <v>21</v>
      </c>
      <c r="H16" t="s">
        <v>22</v>
      </c>
      <c r="L16" t="s">
        <v>23</v>
      </c>
      <c r="M16" t="s">
        <v>24</v>
      </c>
      <c r="N16" t="s">
        <v>25</v>
      </c>
      <c r="P16" s="11" t="s">
        <v>16</v>
      </c>
      <c r="Q16" s="12" t="s">
        <v>17</v>
      </c>
      <c r="R16" s="12" t="s">
        <v>1285</v>
      </c>
      <c r="S16" s="12" t="b">
        <v>0</v>
      </c>
      <c r="T16" s="12" t="b">
        <v>1</v>
      </c>
      <c r="U16" s="12">
        <v>3</v>
      </c>
      <c r="V16" s="12" t="s">
        <v>18</v>
      </c>
      <c r="W16" s="12" t="s">
        <v>1286</v>
      </c>
      <c r="X16" s="12" t="b">
        <v>0</v>
      </c>
      <c r="Y16" s="12" t="b">
        <v>0</v>
      </c>
      <c r="Z16" s="12"/>
      <c r="AA16" s="12">
        <v>0.90549999999999997</v>
      </c>
      <c r="AB16" s="12" t="s">
        <v>1287</v>
      </c>
      <c r="AC16" s="12" t="s">
        <v>1288</v>
      </c>
      <c r="AD16" s="13" t="b">
        <v>1</v>
      </c>
    </row>
    <row r="17" spans="1:30">
      <c r="A17" t="s">
        <v>26</v>
      </c>
      <c r="B17" t="s">
        <v>27</v>
      </c>
      <c r="C17" t="s">
        <v>28</v>
      </c>
      <c r="D17" t="s">
        <v>19</v>
      </c>
      <c r="E17" t="s">
        <v>20</v>
      </c>
      <c r="F17" t="s">
        <v>29</v>
      </c>
      <c r="G17" t="s">
        <v>30</v>
      </c>
      <c r="L17" t="s">
        <v>23</v>
      </c>
      <c r="M17" t="s">
        <v>24</v>
      </c>
      <c r="N17" t="s">
        <v>31</v>
      </c>
      <c r="P17" s="11" t="s">
        <v>29</v>
      </c>
      <c r="Q17" s="12" t="s">
        <v>27</v>
      </c>
      <c r="R17" s="12" t="s">
        <v>27</v>
      </c>
      <c r="S17" s="12" t="b">
        <v>1</v>
      </c>
      <c r="T17" s="12" t="b">
        <v>1</v>
      </c>
      <c r="U17" s="12">
        <v>1</v>
      </c>
      <c r="V17" s="12" t="s">
        <v>28</v>
      </c>
      <c r="W17" s="12" t="s">
        <v>181</v>
      </c>
      <c r="X17" s="12" t="b">
        <v>0</v>
      </c>
      <c r="Y17" s="12" t="b">
        <v>1</v>
      </c>
      <c r="Z17" s="12">
        <v>2</v>
      </c>
      <c r="AA17" s="12">
        <v>0.97519999999999996</v>
      </c>
      <c r="AB17" s="12" t="s">
        <v>1289</v>
      </c>
      <c r="AC17" s="12" t="s">
        <v>1116</v>
      </c>
      <c r="AD17" s="13" t="b">
        <v>1</v>
      </c>
    </row>
    <row r="18" spans="1:30">
      <c r="A18" t="s">
        <v>32</v>
      </c>
      <c r="B18" t="s">
        <v>33</v>
      </c>
      <c r="C18" t="s">
        <v>34</v>
      </c>
      <c r="D18" t="s">
        <v>19</v>
      </c>
      <c r="E18" t="s">
        <v>20</v>
      </c>
      <c r="F18" t="s">
        <v>32</v>
      </c>
      <c r="G18" t="s">
        <v>35</v>
      </c>
      <c r="H18" t="s">
        <v>22</v>
      </c>
      <c r="I18" t="s">
        <v>36</v>
      </c>
      <c r="L18" t="s">
        <v>23</v>
      </c>
      <c r="M18" t="s">
        <v>24</v>
      </c>
      <c r="N18" t="s">
        <v>31</v>
      </c>
      <c r="P18" s="11" t="s">
        <v>32</v>
      </c>
      <c r="Q18" s="12" t="s">
        <v>33</v>
      </c>
      <c r="R18" s="12" t="s">
        <v>33</v>
      </c>
      <c r="S18" s="12" t="b">
        <v>1</v>
      </c>
      <c r="T18" s="12" t="b">
        <v>1</v>
      </c>
      <c r="U18" s="12">
        <v>1</v>
      </c>
      <c r="V18" s="12" t="s">
        <v>34</v>
      </c>
      <c r="W18" s="12" t="s">
        <v>34</v>
      </c>
      <c r="X18" s="12" t="b">
        <v>1</v>
      </c>
      <c r="Y18" s="12" t="b">
        <v>1</v>
      </c>
      <c r="Z18" s="12">
        <v>1</v>
      </c>
      <c r="AA18" s="12">
        <v>1.0841000000000001</v>
      </c>
      <c r="AB18" s="12" t="s">
        <v>1290</v>
      </c>
      <c r="AC18" s="12" t="s">
        <v>1119</v>
      </c>
      <c r="AD18" s="13" t="b">
        <v>1</v>
      </c>
    </row>
    <row r="19" spans="1:30">
      <c r="A19" t="s">
        <v>37</v>
      </c>
      <c r="B19" t="s">
        <v>38</v>
      </c>
      <c r="C19" t="s">
        <v>39</v>
      </c>
      <c r="D19" t="s">
        <v>19</v>
      </c>
      <c r="E19" t="s">
        <v>20</v>
      </c>
      <c r="F19" t="s">
        <v>37</v>
      </c>
      <c r="G19" t="s">
        <v>40</v>
      </c>
      <c r="H19" t="s">
        <v>22</v>
      </c>
      <c r="L19" t="s">
        <v>23</v>
      </c>
      <c r="M19" t="s">
        <v>24</v>
      </c>
      <c r="N19" t="s">
        <v>31</v>
      </c>
      <c r="P19" s="11" t="s">
        <v>37</v>
      </c>
      <c r="Q19" s="12" t="s">
        <v>38</v>
      </c>
      <c r="R19" s="12" t="s">
        <v>38</v>
      </c>
      <c r="S19" s="12" t="b">
        <v>1</v>
      </c>
      <c r="T19" s="12" t="b">
        <v>1</v>
      </c>
      <c r="U19" s="12">
        <v>1</v>
      </c>
      <c r="V19" s="12" t="s">
        <v>39</v>
      </c>
      <c r="W19" s="12" t="s">
        <v>39</v>
      </c>
      <c r="X19" s="12" t="b">
        <v>1</v>
      </c>
      <c r="Y19" s="12" t="b">
        <v>1</v>
      </c>
      <c r="Z19" s="12">
        <v>1</v>
      </c>
      <c r="AA19" s="12">
        <v>0.9</v>
      </c>
      <c r="AB19" s="12" t="s">
        <v>989</v>
      </c>
      <c r="AC19" s="12" t="s">
        <v>1122</v>
      </c>
      <c r="AD19" s="13" t="b">
        <v>1</v>
      </c>
    </row>
    <row r="20" spans="1:30">
      <c r="A20" t="s">
        <v>41</v>
      </c>
      <c r="B20" t="s">
        <v>42</v>
      </c>
      <c r="C20" t="s">
        <v>43</v>
      </c>
      <c r="D20" t="s">
        <v>44</v>
      </c>
      <c r="E20" t="s">
        <v>20</v>
      </c>
      <c r="F20" t="s">
        <v>45</v>
      </c>
      <c r="G20" t="s">
        <v>46</v>
      </c>
      <c r="H20" t="s">
        <v>47</v>
      </c>
      <c r="I20" t="s">
        <v>48</v>
      </c>
      <c r="L20" t="s">
        <v>23</v>
      </c>
      <c r="M20" t="s">
        <v>24</v>
      </c>
      <c r="N20" t="s">
        <v>49</v>
      </c>
      <c r="P20" s="11" t="s">
        <v>45</v>
      </c>
      <c r="Q20" s="12" t="s">
        <v>42</v>
      </c>
      <c r="R20" s="12" t="s">
        <v>42</v>
      </c>
      <c r="S20" s="12" t="b">
        <v>1</v>
      </c>
      <c r="T20" s="12" t="b">
        <v>1</v>
      </c>
      <c r="U20" s="12">
        <v>1</v>
      </c>
      <c r="V20" s="12" t="s">
        <v>43</v>
      </c>
      <c r="W20" s="12" t="s">
        <v>43</v>
      </c>
      <c r="X20" s="12" t="b">
        <v>1</v>
      </c>
      <c r="Y20" s="12" t="b">
        <v>1</v>
      </c>
      <c r="Z20" s="12">
        <v>1</v>
      </c>
      <c r="AA20" s="12">
        <v>0.7712</v>
      </c>
      <c r="AB20" s="12" t="s">
        <v>42</v>
      </c>
      <c r="AC20" s="12" t="s">
        <v>1291</v>
      </c>
      <c r="AD20" s="13" t="b">
        <v>1</v>
      </c>
    </row>
    <row r="21" spans="1:30">
      <c r="A21" t="s">
        <v>41</v>
      </c>
      <c r="B21" t="s">
        <v>42</v>
      </c>
      <c r="C21" t="s">
        <v>50</v>
      </c>
      <c r="D21" t="s">
        <v>19</v>
      </c>
      <c r="E21" t="s">
        <v>20</v>
      </c>
      <c r="F21" t="s">
        <v>45</v>
      </c>
      <c r="G21" t="s">
        <v>51</v>
      </c>
      <c r="H21" t="s">
        <v>22</v>
      </c>
      <c r="I21" t="s">
        <v>52</v>
      </c>
      <c r="L21" t="s">
        <v>23</v>
      </c>
      <c r="M21" t="s">
        <v>24</v>
      </c>
      <c r="N21" t="s">
        <v>49</v>
      </c>
      <c r="P21" s="11" t="s">
        <v>45</v>
      </c>
      <c r="Q21" s="12" t="s">
        <v>42</v>
      </c>
      <c r="R21" s="12" t="s">
        <v>42</v>
      </c>
      <c r="S21" s="12" t="b">
        <v>1</v>
      </c>
      <c r="T21" s="12" t="b">
        <v>1</v>
      </c>
      <c r="U21" s="12">
        <v>1</v>
      </c>
      <c r="V21" s="12" t="s">
        <v>50</v>
      </c>
      <c r="W21" s="12" t="s">
        <v>43</v>
      </c>
      <c r="X21" s="12" t="b">
        <v>0</v>
      </c>
      <c r="Y21" s="12" t="b">
        <v>1</v>
      </c>
      <c r="Z21" s="12">
        <v>2</v>
      </c>
      <c r="AA21" s="12">
        <v>1.0711999999999999</v>
      </c>
      <c r="AB21" s="12" t="s">
        <v>42</v>
      </c>
      <c r="AC21" s="12" t="s">
        <v>1128</v>
      </c>
      <c r="AD21" s="13" t="b">
        <v>1</v>
      </c>
    </row>
    <row r="22" spans="1:30">
      <c r="A22" t="s">
        <v>53</v>
      </c>
      <c r="B22" t="s">
        <v>54</v>
      </c>
      <c r="C22" t="s">
        <v>55</v>
      </c>
      <c r="D22" t="s">
        <v>19</v>
      </c>
      <c r="E22" t="s">
        <v>20</v>
      </c>
      <c r="F22" t="s">
        <v>53</v>
      </c>
      <c r="G22" t="s">
        <v>56</v>
      </c>
      <c r="H22" t="s">
        <v>22</v>
      </c>
      <c r="I22" t="s">
        <v>57</v>
      </c>
      <c r="L22" t="s">
        <v>23</v>
      </c>
      <c r="M22" t="s">
        <v>24</v>
      </c>
      <c r="N22" t="s">
        <v>25</v>
      </c>
      <c r="P22" s="11" t="s">
        <v>53</v>
      </c>
      <c r="Q22" s="12" t="s">
        <v>54</v>
      </c>
      <c r="R22" s="12" t="s">
        <v>54</v>
      </c>
      <c r="S22" s="12" t="b">
        <v>1</v>
      </c>
      <c r="T22" s="12" t="b">
        <v>1</v>
      </c>
      <c r="U22" s="12">
        <v>1</v>
      </c>
      <c r="V22" s="12" t="s">
        <v>55</v>
      </c>
      <c r="W22" s="12" t="s">
        <v>55</v>
      </c>
      <c r="X22" s="12" t="b">
        <v>1</v>
      </c>
      <c r="Y22" s="12" t="b">
        <v>1</v>
      </c>
      <c r="Z22" s="12">
        <v>1</v>
      </c>
      <c r="AA22" s="12">
        <v>1.1528</v>
      </c>
      <c r="AB22" s="12" t="s">
        <v>1292</v>
      </c>
      <c r="AC22" s="12" t="s">
        <v>1131</v>
      </c>
      <c r="AD22" s="13" t="b">
        <v>1</v>
      </c>
    </row>
    <row r="23" spans="1:30">
      <c r="A23" t="s">
        <v>58</v>
      </c>
      <c r="B23" t="s">
        <v>59</v>
      </c>
      <c r="C23" t="s">
        <v>60</v>
      </c>
      <c r="D23" t="s">
        <v>44</v>
      </c>
      <c r="E23" t="s">
        <v>20</v>
      </c>
      <c r="F23" t="s">
        <v>1132</v>
      </c>
      <c r="G23" t="s">
        <v>62</v>
      </c>
      <c r="H23" t="s">
        <v>47</v>
      </c>
      <c r="L23" t="s">
        <v>23</v>
      </c>
      <c r="M23" t="s">
        <v>24</v>
      </c>
      <c r="N23" t="s">
        <v>25</v>
      </c>
      <c r="P23" s="11" t="s">
        <v>61</v>
      </c>
      <c r="Q23" s="12" t="s">
        <v>59</v>
      </c>
      <c r="R23" s="12" t="s">
        <v>59</v>
      </c>
      <c r="S23" s="12" t="b">
        <v>1</v>
      </c>
      <c r="T23" s="12" t="b">
        <v>1</v>
      </c>
      <c r="U23" s="12">
        <v>1</v>
      </c>
      <c r="V23" s="12" t="s">
        <v>60</v>
      </c>
      <c r="W23" s="12" t="s">
        <v>60</v>
      </c>
      <c r="X23" s="12" t="b">
        <v>1</v>
      </c>
      <c r="Y23" s="12" t="b">
        <v>1</v>
      </c>
      <c r="Z23" s="12">
        <v>1</v>
      </c>
      <c r="AA23" s="12">
        <v>0.84960000000000002</v>
      </c>
      <c r="AB23" s="12" t="s">
        <v>59</v>
      </c>
      <c r="AC23" s="12" t="s">
        <v>1293</v>
      </c>
      <c r="AD23" s="13" t="b">
        <v>1</v>
      </c>
    </row>
    <row r="24" spans="1:30">
      <c r="A24" t="s">
        <v>63</v>
      </c>
      <c r="B24" t="s">
        <v>64</v>
      </c>
      <c r="C24" t="s">
        <v>65</v>
      </c>
      <c r="D24" t="s">
        <v>19</v>
      </c>
      <c r="E24" t="s">
        <v>20</v>
      </c>
      <c r="F24" t="s">
        <v>66</v>
      </c>
      <c r="G24" t="s">
        <v>67</v>
      </c>
      <c r="H24" t="s">
        <v>22</v>
      </c>
      <c r="L24" t="s">
        <v>23</v>
      </c>
      <c r="M24" t="s">
        <v>24</v>
      </c>
      <c r="N24" t="s">
        <v>31</v>
      </c>
      <c r="P24" s="11" t="s">
        <v>66</v>
      </c>
      <c r="Q24" s="12" t="s">
        <v>64</v>
      </c>
      <c r="R24" s="12" t="s">
        <v>64</v>
      </c>
      <c r="S24" s="12" t="b">
        <v>1</v>
      </c>
      <c r="T24" s="12" t="b">
        <v>1</v>
      </c>
      <c r="U24" s="12">
        <v>1</v>
      </c>
      <c r="V24" s="12" t="s">
        <v>65</v>
      </c>
      <c r="W24" s="12" t="s">
        <v>65</v>
      </c>
      <c r="X24" s="12" t="b">
        <v>1</v>
      </c>
      <c r="Y24" s="12" t="b">
        <v>1</v>
      </c>
      <c r="Z24" s="12">
        <v>1</v>
      </c>
      <c r="AA24" s="12">
        <v>1.1831</v>
      </c>
      <c r="AB24" s="12" t="s">
        <v>64</v>
      </c>
      <c r="AC24" s="12" t="s">
        <v>1137</v>
      </c>
      <c r="AD24" s="13" t="b">
        <v>1</v>
      </c>
    </row>
    <row r="25" spans="1:30">
      <c r="A25" t="s">
        <v>68</v>
      </c>
      <c r="B25" t="s">
        <v>69</v>
      </c>
      <c r="C25" t="s">
        <v>70</v>
      </c>
      <c r="D25" t="s">
        <v>19</v>
      </c>
      <c r="E25" t="s">
        <v>20</v>
      </c>
      <c r="F25" t="s">
        <v>71</v>
      </c>
      <c r="G25" t="s">
        <v>72</v>
      </c>
      <c r="H25" t="s">
        <v>22</v>
      </c>
      <c r="I25" t="s">
        <v>73</v>
      </c>
      <c r="L25" t="s">
        <v>23</v>
      </c>
      <c r="M25" t="s">
        <v>24</v>
      </c>
      <c r="N25" t="s">
        <v>25</v>
      </c>
      <c r="P25" s="11" t="s">
        <v>71</v>
      </c>
      <c r="Q25" s="12" t="s">
        <v>69</v>
      </c>
      <c r="R25" s="12" t="s">
        <v>69</v>
      </c>
      <c r="S25" s="12" t="b">
        <v>1</v>
      </c>
      <c r="T25" s="12" t="b">
        <v>1</v>
      </c>
      <c r="U25" s="12">
        <v>1</v>
      </c>
      <c r="V25" s="12" t="s">
        <v>70</v>
      </c>
      <c r="W25" s="12" t="s">
        <v>70</v>
      </c>
      <c r="X25" s="12" t="b">
        <v>1</v>
      </c>
      <c r="Y25" s="12" t="b">
        <v>1</v>
      </c>
      <c r="Z25" s="12">
        <v>1</v>
      </c>
      <c r="AA25" s="12">
        <v>1.1133999999999999</v>
      </c>
      <c r="AB25" s="12" t="s">
        <v>1294</v>
      </c>
      <c r="AC25" s="12" t="s">
        <v>70</v>
      </c>
      <c r="AD25" s="13" t="b">
        <v>1</v>
      </c>
    </row>
    <row r="26" spans="1:30">
      <c r="A26" t="s">
        <v>68</v>
      </c>
      <c r="B26" t="s">
        <v>69</v>
      </c>
      <c r="C26" t="s">
        <v>70</v>
      </c>
      <c r="D26" t="s">
        <v>19</v>
      </c>
      <c r="E26" t="s">
        <v>20</v>
      </c>
      <c r="F26" t="s">
        <v>74</v>
      </c>
      <c r="G26" t="s">
        <v>75</v>
      </c>
      <c r="H26" t="s">
        <v>22</v>
      </c>
      <c r="I26" t="s">
        <v>73</v>
      </c>
      <c r="L26" t="s">
        <v>23</v>
      </c>
      <c r="M26" t="s">
        <v>24</v>
      </c>
      <c r="N26" t="s">
        <v>31</v>
      </c>
      <c r="P26" s="11" t="s">
        <v>74</v>
      </c>
      <c r="Q26" s="12" t="s">
        <v>69</v>
      </c>
      <c r="R26" s="12" t="s">
        <v>69</v>
      </c>
      <c r="S26" s="12" t="b">
        <v>1</v>
      </c>
      <c r="T26" s="12" t="b">
        <v>1</v>
      </c>
      <c r="U26" s="12">
        <v>1</v>
      </c>
      <c r="V26" s="12" t="s">
        <v>70</v>
      </c>
      <c r="W26" s="12" t="s">
        <v>70</v>
      </c>
      <c r="X26" s="12" t="b">
        <v>1</v>
      </c>
      <c r="Y26" s="12" t="b">
        <v>1</v>
      </c>
      <c r="Z26" s="12">
        <v>1</v>
      </c>
      <c r="AA26" s="12">
        <v>1.0499000000000001</v>
      </c>
      <c r="AB26" s="12" t="s">
        <v>1295</v>
      </c>
      <c r="AC26" s="12" t="s">
        <v>70</v>
      </c>
      <c r="AD26" s="13" t="b">
        <v>1</v>
      </c>
    </row>
    <row r="27" spans="1:30">
      <c r="A27" t="s">
        <v>76</v>
      </c>
      <c r="B27" t="s">
        <v>77</v>
      </c>
      <c r="C27" t="s">
        <v>78</v>
      </c>
      <c r="D27" t="s">
        <v>79</v>
      </c>
      <c r="E27" t="s">
        <v>20</v>
      </c>
      <c r="F27" t="s">
        <v>80</v>
      </c>
      <c r="G27" t="s">
        <v>81</v>
      </c>
      <c r="H27" t="s">
        <v>82</v>
      </c>
      <c r="L27" t="s">
        <v>23</v>
      </c>
      <c r="M27" t="s">
        <v>24</v>
      </c>
      <c r="N27" t="s">
        <v>31</v>
      </c>
      <c r="P27" s="11" t="s">
        <v>80</v>
      </c>
      <c r="Q27" s="12" t="s">
        <v>77</v>
      </c>
      <c r="R27" s="12" t="s">
        <v>77</v>
      </c>
      <c r="S27" s="12" t="b">
        <v>1</v>
      </c>
      <c r="T27" s="12" t="b">
        <v>1</v>
      </c>
      <c r="U27" s="12">
        <v>1</v>
      </c>
      <c r="V27" s="12" t="s">
        <v>78</v>
      </c>
      <c r="W27" s="12" t="s">
        <v>1143</v>
      </c>
      <c r="X27" s="12" t="b">
        <v>0</v>
      </c>
      <c r="Y27" s="12" t="b">
        <v>0</v>
      </c>
      <c r="Z27" s="12">
        <v>7</v>
      </c>
      <c r="AA27" s="12">
        <v>1</v>
      </c>
      <c r="AB27" s="12" t="s">
        <v>77</v>
      </c>
      <c r="AC27" s="12" t="s">
        <v>1145</v>
      </c>
      <c r="AD27" s="13" t="b">
        <v>1</v>
      </c>
    </row>
    <row r="28" spans="1:30">
      <c r="A28" t="s">
        <v>83</v>
      </c>
      <c r="B28" t="s">
        <v>84</v>
      </c>
      <c r="C28" t="s">
        <v>85</v>
      </c>
      <c r="D28" t="s">
        <v>79</v>
      </c>
      <c r="E28" t="s">
        <v>20</v>
      </c>
      <c r="F28" t="s">
        <v>86</v>
      </c>
      <c r="G28" t="s">
        <v>87</v>
      </c>
      <c r="H28" t="s">
        <v>82</v>
      </c>
      <c r="L28" t="s">
        <v>23</v>
      </c>
      <c r="M28" t="s">
        <v>24</v>
      </c>
      <c r="N28" t="s">
        <v>25</v>
      </c>
      <c r="P28" s="11" t="s">
        <v>86</v>
      </c>
      <c r="Q28" s="12" t="s">
        <v>84</v>
      </c>
      <c r="R28" s="12" t="s">
        <v>84</v>
      </c>
      <c r="S28" s="12" t="b">
        <v>1</v>
      </c>
      <c r="T28" s="12" t="b">
        <v>1</v>
      </c>
      <c r="U28" s="12">
        <v>1</v>
      </c>
      <c r="V28" s="12" t="s">
        <v>85</v>
      </c>
      <c r="W28" s="12" t="s">
        <v>139</v>
      </c>
      <c r="X28" s="12" t="b">
        <v>0</v>
      </c>
      <c r="Y28" s="12" t="b">
        <v>1</v>
      </c>
      <c r="Z28" s="12">
        <v>4</v>
      </c>
      <c r="AA28" s="12">
        <v>0.89270000000000005</v>
      </c>
      <c r="AB28" s="12" t="s">
        <v>1296</v>
      </c>
      <c r="AC28" s="12" t="s">
        <v>1148</v>
      </c>
      <c r="AD28" s="13" t="b">
        <v>1</v>
      </c>
    </row>
    <row r="29" spans="1:30">
      <c r="A29" t="s">
        <v>88</v>
      </c>
      <c r="B29" t="s">
        <v>89</v>
      </c>
      <c r="C29" t="s">
        <v>90</v>
      </c>
      <c r="D29" t="s">
        <v>19</v>
      </c>
      <c r="E29" t="s">
        <v>20</v>
      </c>
      <c r="F29" t="s">
        <v>91</v>
      </c>
      <c r="G29" t="s">
        <v>92</v>
      </c>
      <c r="H29" t="s">
        <v>22</v>
      </c>
      <c r="I29" t="s">
        <v>93</v>
      </c>
      <c r="L29" t="s">
        <v>23</v>
      </c>
      <c r="M29" t="s">
        <v>24</v>
      </c>
      <c r="N29" t="s">
        <v>31</v>
      </c>
      <c r="P29" s="11" t="s">
        <v>91</v>
      </c>
      <c r="Q29" s="12" t="s">
        <v>89</v>
      </c>
      <c r="R29" s="12" t="s">
        <v>89</v>
      </c>
      <c r="S29" s="12" t="b">
        <v>1</v>
      </c>
      <c r="T29" s="12" t="b">
        <v>1</v>
      </c>
      <c r="U29" s="12">
        <v>1</v>
      </c>
      <c r="V29" s="12" t="s">
        <v>90</v>
      </c>
      <c r="W29" s="12" t="s">
        <v>90</v>
      </c>
      <c r="X29" s="12" t="b">
        <v>1</v>
      </c>
      <c r="Y29" s="12" t="b">
        <v>1</v>
      </c>
      <c r="Z29" s="12">
        <v>1</v>
      </c>
      <c r="AA29" s="12">
        <v>1.2</v>
      </c>
      <c r="AB29" s="12" t="s">
        <v>994</v>
      </c>
      <c r="AC29" s="12" t="s">
        <v>1151</v>
      </c>
      <c r="AD29" s="13" t="b">
        <v>1</v>
      </c>
    </row>
    <row r="30" spans="1:30">
      <c r="A30" t="s">
        <v>94</v>
      </c>
      <c r="B30" t="s">
        <v>95</v>
      </c>
      <c r="C30" t="s">
        <v>96</v>
      </c>
      <c r="D30" t="s">
        <v>44</v>
      </c>
      <c r="E30" t="s">
        <v>20</v>
      </c>
      <c r="F30" t="s">
        <v>94</v>
      </c>
      <c r="G30" t="s">
        <v>97</v>
      </c>
      <c r="H30" t="s">
        <v>47</v>
      </c>
      <c r="I30" t="s">
        <v>98</v>
      </c>
      <c r="L30" t="s">
        <v>23</v>
      </c>
      <c r="M30" t="s">
        <v>24</v>
      </c>
      <c r="N30" t="s">
        <v>25</v>
      </c>
      <c r="P30" s="11" t="s">
        <v>94</v>
      </c>
      <c r="Q30" s="12" t="s">
        <v>95</v>
      </c>
      <c r="R30" s="12" t="s">
        <v>95</v>
      </c>
      <c r="S30" s="12" t="b">
        <v>1</v>
      </c>
      <c r="T30" s="12" t="b">
        <v>1</v>
      </c>
      <c r="U30" s="12">
        <v>1</v>
      </c>
      <c r="V30" s="12" t="s">
        <v>96</v>
      </c>
      <c r="W30" s="12" t="s">
        <v>96</v>
      </c>
      <c r="X30" s="12" t="b">
        <v>1</v>
      </c>
      <c r="Y30" s="12" t="b">
        <v>1</v>
      </c>
      <c r="Z30" s="12">
        <v>1</v>
      </c>
      <c r="AA30" s="12">
        <v>1.2255</v>
      </c>
      <c r="AB30" s="12" t="s">
        <v>1297</v>
      </c>
      <c r="AC30" s="12" t="s">
        <v>1154</v>
      </c>
      <c r="AD30" s="13" t="b">
        <v>1</v>
      </c>
    </row>
    <row r="31" spans="1:30">
      <c r="A31" t="s">
        <v>99</v>
      </c>
      <c r="B31" t="s">
        <v>100</v>
      </c>
      <c r="C31" t="s">
        <v>101</v>
      </c>
      <c r="D31" t="s">
        <v>44</v>
      </c>
      <c r="E31" t="s">
        <v>20</v>
      </c>
      <c r="F31" t="s">
        <v>102</v>
      </c>
      <c r="G31" t="s">
        <v>103</v>
      </c>
      <c r="H31" t="s">
        <v>47</v>
      </c>
      <c r="I31" t="s">
        <v>104</v>
      </c>
      <c r="L31" t="s">
        <v>23</v>
      </c>
      <c r="M31" t="s">
        <v>24</v>
      </c>
      <c r="N31" t="s">
        <v>31</v>
      </c>
      <c r="P31" s="11" t="s">
        <v>102</v>
      </c>
      <c r="Q31" s="12" t="s">
        <v>100</v>
      </c>
      <c r="R31" s="12" t="s">
        <v>100</v>
      </c>
      <c r="S31" s="12" t="b">
        <v>1</v>
      </c>
      <c r="T31" s="12" t="b">
        <v>1</v>
      </c>
      <c r="U31" s="12">
        <v>1</v>
      </c>
      <c r="V31" s="12" t="s">
        <v>101</v>
      </c>
      <c r="W31" s="12" t="s">
        <v>101</v>
      </c>
      <c r="X31" s="12" t="b">
        <v>1</v>
      </c>
      <c r="Y31" s="12" t="b">
        <v>1</v>
      </c>
      <c r="Z31" s="12">
        <v>1</v>
      </c>
      <c r="AA31" s="12">
        <v>1</v>
      </c>
      <c r="AB31" s="12" t="s">
        <v>1298</v>
      </c>
      <c r="AC31" s="12" t="s">
        <v>1157</v>
      </c>
      <c r="AD31" s="13" t="b">
        <v>1</v>
      </c>
    </row>
    <row r="32" spans="1:30">
      <c r="A32" t="s">
        <v>105</v>
      </c>
      <c r="B32" t="s">
        <v>106</v>
      </c>
      <c r="C32" t="s">
        <v>107</v>
      </c>
      <c r="D32" t="s">
        <v>19</v>
      </c>
      <c r="E32" t="s">
        <v>20</v>
      </c>
      <c r="F32" t="s">
        <v>108</v>
      </c>
      <c r="G32" t="s">
        <v>109</v>
      </c>
      <c r="H32" t="s">
        <v>22</v>
      </c>
      <c r="I32" t="s">
        <v>110</v>
      </c>
      <c r="L32" t="s">
        <v>23</v>
      </c>
      <c r="M32" t="s">
        <v>24</v>
      </c>
      <c r="N32" t="s">
        <v>25</v>
      </c>
      <c r="P32" s="11" t="s">
        <v>108</v>
      </c>
      <c r="Q32" s="12" t="s">
        <v>106</v>
      </c>
      <c r="R32" s="12" t="s">
        <v>106</v>
      </c>
      <c r="S32" s="12" t="b">
        <v>1</v>
      </c>
      <c r="T32" s="12" t="b">
        <v>1</v>
      </c>
      <c r="U32" s="12">
        <v>1</v>
      </c>
      <c r="V32" s="12" t="s">
        <v>107</v>
      </c>
      <c r="W32" s="12" t="s">
        <v>107</v>
      </c>
      <c r="X32" s="12" t="b">
        <v>1</v>
      </c>
      <c r="Y32" s="12" t="b">
        <v>1</v>
      </c>
      <c r="Z32" s="12">
        <v>1</v>
      </c>
      <c r="AA32" s="12">
        <v>1.1232</v>
      </c>
      <c r="AB32" s="12" t="s">
        <v>997</v>
      </c>
      <c r="AC32" s="12" t="s">
        <v>1160</v>
      </c>
      <c r="AD32" s="13" t="b">
        <v>1</v>
      </c>
    </row>
    <row r="33" spans="1:30">
      <c r="A33" t="s">
        <v>111</v>
      </c>
      <c r="B33" t="s">
        <v>112</v>
      </c>
      <c r="C33" t="s">
        <v>113</v>
      </c>
      <c r="D33" t="s">
        <v>19</v>
      </c>
      <c r="E33" t="s">
        <v>20</v>
      </c>
      <c r="F33" t="s">
        <v>111</v>
      </c>
      <c r="G33" t="s">
        <v>114</v>
      </c>
      <c r="H33" t="s">
        <v>22</v>
      </c>
      <c r="L33" t="s">
        <v>23</v>
      </c>
      <c r="M33" t="s">
        <v>24</v>
      </c>
      <c r="N33" t="s">
        <v>25</v>
      </c>
      <c r="P33" s="11" t="s">
        <v>111</v>
      </c>
      <c r="Q33" s="12" t="s">
        <v>112</v>
      </c>
      <c r="R33" s="12" t="s">
        <v>112</v>
      </c>
      <c r="S33" s="12" t="b">
        <v>1</v>
      </c>
      <c r="T33" s="12" t="b">
        <v>1</v>
      </c>
      <c r="U33" s="12">
        <v>1</v>
      </c>
      <c r="V33" s="12" t="s">
        <v>113</v>
      </c>
      <c r="W33" s="12" t="s">
        <v>113</v>
      </c>
      <c r="X33" s="12" t="b">
        <v>1</v>
      </c>
      <c r="Y33" s="12" t="b">
        <v>1</v>
      </c>
      <c r="Z33" s="12">
        <v>1</v>
      </c>
      <c r="AA33" s="12">
        <v>0.8589</v>
      </c>
      <c r="AB33" s="12" t="s">
        <v>1299</v>
      </c>
      <c r="AC33" s="12" t="s">
        <v>1163</v>
      </c>
      <c r="AD33" s="13" t="b">
        <v>1</v>
      </c>
    </row>
    <row r="34" spans="1:30">
      <c r="A34" t="s">
        <v>115</v>
      </c>
      <c r="B34" t="s">
        <v>116</v>
      </c>
      <c r="C34" t="s">
        <v>117</v>
      </c>
      <c r="D34" t="s">
        <v>19</v>
      </c>
      <c r="E34" t="s">
        <v>20</v>
      </c>
      <c r="F34" t="s">
        <v>118</v>
      </c>
      <c r="G34" t="s">
        <v>119</v>
      </c>
      <c r="H34" t="s">
        <v>22</v>
      </c>
      <c r="I34" t="s">
        <v>120</v>
      </c>
      <c r="L34" t="s">
        <v>23</v>
      </c>
      <c r="M34" t="s">
        <v>24</v>
      </c>
      <c r="N34" t="s">
        <v>25</v>
      </c>
      <c r="P34" s="11" t="s">
        <v>118</v>
      </c>
      <c r="Q34" s="12" t="s">
        <v>116</v>
      </c>
      <c r="R34" s="12" t="s">
        <v>116</v>
      </c>
      <c r="S34" s="12" t="b">
        <v>1</v>
      </c>
      <c r="T34" s="12" t="b">
        <v>1</v>
      </c>
      <c r="U34" s="12">
        <v>1</v>
      </c>
      <c r="V34" s="12" t="s">
        <v>117</v>
      </c>
      <c r="W34" s="12" t="s">
        <v>117</v>
      </c>
      <c r="X34" s="12" t="b">
        <v>1</v>
      </c>
      <c r="Y34" s="12" t="b">
        <v>1</v>
      </c>
      <c r="Z34" s="12">
        <v>1</v>
      </c>
      <c r="AA34" s="12">
        <v>1.0248999999999999</v>
      </c>
      <c r="AB34" s="12" t="s">
        <v>116</v>
      </c>
      <c r="AC34" s="12" t="s">
        <v>1166</v>
      </c>
      <c r="AD34" s="13" t="b">
        <v>1</v>
      </c>
    </row>
    <row r="35" spans="1:30">
      <c r="A35" t="s">
        <v>115</v>
      </c>
      <c r="B35" t="s">
        <v>116</v>
      </c>
      <c r="C35" t="s">
        <v>117</v>
      </c>
      <c r="D35" t="s">
        <v>19</v>
      </c>
      <c r="E35" t="s">
        <v>20</v>
      </c>
      <c r="F35" t="s">
        <v>121</v>
      </c>
      <c r="G35" t="s">
        <v>122</v>
      </c>
      <c r="H35" t="s">
        <v>22</v>
      </c>
      <c r="I35" t="s">
        <v>123</v>
      </c>
      <c r="L35" t="s">
        <v>23</v>
      </c>
      <c r="M35" t="s">
        <v>24</v>
      </c>
      <c r="N35" t="s">
        <v>31</v>
      </c>
      <c r="P35" s="11" t="s">
        <v>121</v>
      </c>
      <c r="Q35" s="12" t="s">
        <v>116</v>
      </c>
      <c r="R35" s="12" t="s">
        <v>116</v>
      </c>
      <c r="S35" s="12" t="b">
        <v>1</v>
      </c>
      <c r="T35" s="12" t="b">
        <v>1</v>
      </c>
      <c r="U35" s="12">
        <v>1</v>
      </c>
      <c r="V35" s="12" t="s">
        <v>117</v>
      </c>
      <c r="W35" s="12" t="s">
        <v>117</v>
      </c>
      <c r="X35" s="12" t="b">
        <v>1</v>
      </c>
      <c r="Y35" s="12" t="b">
        <v>1</v>
      </c>
      <c r="Z35" s="12">
        <v>1</v>
      </c>
      <c r="AA35" s="12">
        <v>0.89749999999999996</v>
      </c>
      <c r="AB35" s="12" t="s">
        <v>116</v>
      </c>
      <c r="AC35" s="12" t="s">
        <v>1166</v>
      </c>
      <c r="AD35" s="13" t="b">
        <v>1</v>
      </c>
    </row>
    <row r="36" spans="1:30">
      <c r="A36" t="s">
        <v>124</v>
      </c>
      <c r="B36" t="s">
        <v>125</v>
      </c>
      <c r="C36" t="s">
        <v>126</v>
      </c>
      <c r="D36" t="s">
        <v>127</v>
      </c>
      <c r="E36" t="s">
        <v>127</v>
      </c>
      <c r="F36" t="s">
        <v>128</v>
      </c>
      <c r="G36" t="s">
        <v>128</v>
      </c>
      <c r="L36" t="s">
        <v>23</v>
      </c>
      <c r="M36" t="s">
        <v>24</v>
      </c>
      <c r="N36" t="s">
        <v>31</v>
      </c>
      <c r="P36" s="11" t="s">
        <v>128</v>
      </c>
      <c r="Q36" s="12" t="s">
        <v>125</v>
      </c>
      <c r="R36" s="12" t="s">
        <v>125</v>
      </c>
      <c r="S36" s="12" t="b">
        <v>1</v>
      </c>
      <c r="T36" s="12" t="b">
        <v>1</v>
      </c>
      <c r="U36" s="12">
        <v>1</v>
      </c>
      <c r="V36" s="12" t="s">
        <v>126</v>
      </c>
      <c r="W36" s="12" t="s">
        <v>126</v>
      </c>
      <c r="X36" s="12" t="b">
        <v>1</v>
      </c>
      <c r="Y36" s="12" t="b">
        <v>1</v>
      </c>
      <c r="Z36" s="12">
        <v>1</v>
      </c>
      <c r="AA36" s="12">
        <v>0.77990000000000004</v>
      </c>
      <c r="AB36" s="12" t="s">
        <v>1300</v>
      </c>
      <c r="AC36" s="12" t="s">
        <v>1168</v>
      </c>
      <c r="AD36" s="13" t="b">
        <v>1</v>
      </c>
    </row>
    <row r="37" spans="1:30">
      <c r="A37" t="s">
        <v>129</v>
      </c>
      <c r="B37" t="s">
        <v>130</v>
      </c>
      <c r="C37" t="s">
        <v>131</v>
      </c>
      <c r="D37" t="s">
        <v>127</v>
      </c>
      <c r="E37" t="s">
        <v>127</v>
      </c>
      <c r="F37" t="s">
        <v>132</v>
      </c>
      <c r="G37" t="s">
        <v>133</v>
      </c>
      <c r="L37" t="s">
        <v>23</v>
      </c>
      <c r="M37" t="s">
        <v>24</v>
      </c>
      <c r="N37" t="s">
        <v>31</v>
      </c>
      <c r="P37" s="11" t="s">
        <v>132</v>
      </c>
      <c r="Q37" s="12" t="s">
        <v>130</v>
      </c>
      <c r="R37" s="12" t="s">
        <v>130</v>
      </c>
      <c r="S37" s="12" t="b">
        <v>1</v>
      </c>
      <c r="T37" s="12" t="b">
        <v>1</v>
      </c>
      <c r="U37" s="12">
        <v>1</v>
      </c>
      <c r="V37" s="12" t="s">
        <v>131</v>
      </c>
      <c r="W37" s="12" t="s">
        <v>131</v>
      </c>
      <c r="X37" s="12" t="b">
        <v>1</v>
      </c>
      <c r="Y37" s="12" t="b">
        <v>1</v>
      </c>
      <c r="Z37" s="12">
        <v>1</v>
      </c>
      <c r="AA37" s="12">
        <v>1</v>
      </c>
      <c r="AB37" s="12" t="s">
        <v>130</v>
      </c>
      <c r="AC37" s="12" t="s">
        <v>1169</v>
      </c>
      <c r="AD37" s="13" t="b">
        <v>1</v>
      </c>
    </row>
    <row r="38" spans="1:30">
      <c r="A38" t="s">
        <v>134</v>
      </c>
      <c r="B38" t="s">
        <v>135</v>
      </c>
      <c r="C38" t="s">
        <v>136</v>
      </c>
      <c r="D38" t="s">
        <v>19</v>
      </c>
      <c r="E38" t="s">
        <v>20</v>
      </c>
      <c r="F38" t="s">
        <v>134</v>
      </c>
      <c r="G38" t="s">
        <v>137</v>
      </c>
      <c r="H38" t="s">
        <v>22</v>
      </c>
      <c r="L38" t="s">
        <v>23</v>
      </c>
      <c r="M38" t="s">
        <v>24</v>
      </c>
      <c r="N38" t="s">
        <v>25</v>
      </c>
      <c r="P38" s="11" t="s">
        <v>134</v>
      </c>
      <c r="Q38" s="12" t="s">
        <v>135</v>
      </c>
      <c r="R38" s="12" t="s">
        <v>135</v>
      </c>
      <c r="S38" s="12" t="b">
        <v>1</v>
      </c>
      <c r="T38" s="12" t="b">
        <v>1</v>
      </c>
      <c r="U38" s="12">
        <v>1</v>
      </c>
      <c r="V38" s="12" t="s">
        <v>136</v>
      </c>
      <c r="W38" s="12" t="s">
        <v>136</v>
      </c>
      <c r="X38" s="12" t="b">
        <v>1</v>
      </c>
      <c r="Y38" s="12" t="b">
        <v>1</v>
      </c>
      <c r="Z38" s="12">
        <v>1</v>
      </c>
      <c r="AA38" s="12">
        <v>1.1819999999999999</v>
      </c>
      <c r="AB38" s="12" t="s">
        <v>135</v>
      </c>
      <c r="AC38" s="12" t="s">
        <v>631</v>
      </c>
      <c r="AD38" s="13" t="b">
        <v>1</v>
      </c>
    </row>
    <row r="39" spans="1:30">
      <c r="A39" t="s">
        <v>138</v>
      </c>
      <c r="B39" t="s">
        <v>84</v>
      </c>
      <c r="C39" t="s">
        <v>139</v>
      </c>
      <c r="D39" t="s">
        <v>19</v>
      </c>
      <c r="E39" t="s">
        <v>20</v>
      </c>
      <c r="F39" t="s">
        <v>86</v>
      </c>
      <c r="G39" t="s">
        <v>140</v>
      </c>
      <c r="H39" t="s">
        <v>22</v>
      </c>
      <c r="I39" t="s">
        <v>141</v>
      </c>
      <c r="L39" t="s">
        <v>23</v>
      </c>
      <c r="M39" t="s">
        <v>24</v>
      </c>
      <c r="N39" t="s">
        <v>25</v>
      </c>
      <c r="P39" s="11" t="s">
        <v>86</v>
      </c>
      <c r="Q39" s="12" t="s">
        <v>84</v>
      </c>
      <c r="R39" s="12" t="s">
        <v>84</v>
      </c>
      <c r="S39" s="12" t="b">
        <v>1</v>
      </c>
      <c r="T39" s="12" t="b">
        <v>1</v>
      </c>
      <c r="U39" s="12">
        <v>1</v>
      </c>
      <c r="V39" s="12" t="s">
        <v>139</v>
      </c>
      <c r="W39" s="12" t="s">
        <v>139</v>
      </c>
      <c r="X39" s="12" t="b">
        <v>1</v>
      </c>
      <c r="Y39" s="12" t="b">
        <v>1</v>
      </c>
      <c r="Z39" s="12">
        <v>1</v>
      </c>
      <c r="AA39" s="12">
        <v>1.0927</v>
      </c>
      <c r="AB39" s="12" t="s">
        <v>1301</v>
      </c>
      <c r="AC39" s="12" t="s">
        <v>1174</v>
      </c>
      <c r="AD39" s="13" t="b">
        <v>1</v>
      </c>
    </row>
    <row r="40" spans="1:30">
      <c r="A40" t="s">
        <v>142</v>
      </c>
      <c r="B40" t="s">
        <v>143</v>
      </c>
      <c r="C40" t="s">
        <v>144</v>
      </c>
      <c r="D40" t="s">
        <v>19</v>
      </c>
      <c r="E40" t="s">
        <v>20</v>
      </c>
      <c r="F40" t="s">
        <v>145</v>
      </c>
      <c r="G40" t="s">
        <v>146</v>
      </c>
      <c r="H40" t="s">
        <v>22</v>
      </c>
      <c r="L40" t="s">
        <v>23</v>
      </c>
      <c r="M40" t="s">
        <v>24</v>
      </c>
      <c r="N40" t="s">
        <v>25</v>
      </c>
      <c r="P40" s="11" t="s">
        <v>145</v>
      </c>
      <c r="Q40" s="12" t="s">
        <v>143</v>
      </c>
      <c r="R40" s="12" t="s">
        <v>143</v>
      </c>
      <c r="S40" s="12" t="b">
        <v>1</v>
      </c>
      <c r="T40" s="12" t="b">
        <v>1</v>
      </c>
      <c r="U40" s="12">
        <v>1</v>
      </c>
      <c r="V40" s="12" t="s">
        <v>144</v>
      </c>
      <c r="W40" s="12" t="s">
        <v>144</v>
      </c>
      <c r="X40" s="12" t="b">
        <v>1</v>
      </c>
      <c r="Y40" s="12" t="b">
        <v>1</v>
      </c>
      <c r="Z40" s="12">
        <v>1</v>
      </c>
      <c r="AA40" s="12">
        <v>0.81789999999999996</v>
      </c>
      <c r="AB40" s="12" t="s">
        <v>143</v>
      </c>
      <c r="AC40" s="12" t="s">
        <v>1177</v>
      </c>
      <c r="AD40" s="13" t="b">
        <v>1</v>
      </c>
    </row>
    <row r="41" spans="1:30">
      <c r="A41" t="s">
        <v>147</v>
      </c>
      <c r="B41" t="s">
        <v>148</v>
      </c>
      <c r="C41" t="s">
        <v>149</v>
      </c>
      <c r="D41" t="s">
        <v>19</v>
      </c>
      <c r="E41" t="s">
        <v>20</v>
      </c>
      <c r="F41" t="s">
        <v>147</v>
      </c>
      <c r="G41" t="s">
        <v>150</v>
      </c>
      <c r="H41" t="s">
        <v>22</v>
      </c>
      <c r="I41" t="s">
        <v>151</v>
      </c>
      <c r="L41" t="s">
        <v>23</v>
      </c>
      <c r="M41" t="s">
        <v>24</v>
      </c>
      <c r="N41" t="s">
        <v>25</v>
      </c>
      <c r="P41" s="11" t="s">
        <v>147</v>
      </c>
      <c r="Q41" s="12" t="s">
        <v>148</v>
      </c>
      <c r="R41" s="12" t="s">
        <v>148</v>
      </c>
      <c r="S41" s="12" t="b">
        <v>1</v>
      </c>
      <c r="T41" s="12" t="b">
        <v>1</v>
      </c>
      <c r="U41" s="12">
        <v>1</v>
      </c>
      <c r="V41" s="12" t="s">
        <v>149</v>
      </c>
      <c r="W41" s="12" t="s">
        <v>149</v>
      </c>
      <c r="X41" s="12" t="b">
        <v>1</v>
      </c>
      <c r="Y41" s="12" t="b">
        <v>1</v>
      </c>
      <c r="Z41" s="12">
        <v>1</v>
      </c>
      <c r="AA41" s="12">
        <v>0.99450000000000005</v>
      </c>
      <c r="AB41" s="12" t="s">
        <v>1302</v>
      </c>
      <c r="AC41" s="12" t="s">
        <v>1180</v>
      </c>
      <c r="AD41" s="13" t="b">
        <v>1</v>
      </c>
    </row>
    <row r="42" spans="1:30">
      <c r="A42" s="2" t="s">
        <v>152</v>
      </c>
      <c r="B42" s="2" t="s">
        <v>152</v>
      </c>
      <c r="C42" s="2" t="s">
        <v>153</v>
      </c>
      <c r="D42" s="2" t="s">
        <v>19</v>
      </c>
      <c r="E42" s="2" t="s">
        <v>20</v>
      </c>
      <c r="F42" s="2" t="s">
        <v>154</v>
      </c>
      <c r="G42" s="2" t="s">
        <v>155</v>
      </c>
      <c r="H42" s="2" t="s">
        <v>22</v>
      </c>
      <c r="I42" s="2" t="s">
        <v>156</v>
      </c>
      <c r="J42" s="2"/>
      <c r="K42" s="2"/>
      <c r="L42" t="s">
        <v>23</v>
      </c>
      <c r="M42" t="s">
        <v>24</v>
      </c>
      <c r="N42" t="s">
        <v>49</v>
      </c>
      <c r="O42" s="2"/>
      <c r="P42" s="37" t="s">
        <v>154</v>
      </c>
      <c r="Q42" s="38" t="s">
        <v>152</v>
      </c>
      <c r="R42" s="38"/>
      <c r="S42" s="38" t="b">
        <v>0</v>
      </c>
      <c r="T42" s="38" t="b">
        <v>0</v>
      </c>
      <c r="U42" s="38"/>
      <c r="V42" s="38" t="s">
        <v>153</v>
      </c>
      <c r="W42" s="38"/>
      <c r="X42" s="38" t="b">
        <v>0</v>
      </c>
      <c r="Y42" s="38" t="b">
        <v>0</v>
      </c>
      <c r="Z42" s="38"/>
      <c r="AA42" s="38"/>
      <c r="AB42" s="38"/>
      <c r="AC42" s="38"/>
      <c r="AD42" s="39" t="b">
        <v>0</v>
      </c>
    </row>
    <row r="43" spans="1:30">
      <c r="A43" s="2" t="s">
        <v>157</v>
      </c>
      <c r="B43" s="2" t="s">
        <v>158</v>
      </c>
      <c r="C43" s="2" t="s">
        <v>159</v>
      </c>
      <c r="D43" s="2" t="s">
        <v>19</v>
      </c>
      <c r="E43" s="2" t="s">
        <v>20</v>
      </c>
      <c r="F43" s="2" t="s">
        <v>157</v>
      </c>
      <c r="G43" s="2" t="s">
        <v>160</v>
      </c>
      <c r="H43" s="2" t="s">
        <v>22</v>
      </c>
      <c r="I43" s="2" t="s">
        <v>161</v>
      </c>
      <c r="J43" s="2"/>
      <c r="K43" s="2"/>
      <c r="L43" t="s">
        <v>23</v>
      </c>
      <c r="M43" t="s">
        <v>24</v>
      </c>
      <c r="N43" t="s">
        <v>25</v>
      </c>
      <c r="P43" s="11" t="s">
        <v>157</v>
      </c>
      <c r="Q43" s="12" t="s">
        <v>158</v>
      </c>
      <c r="R43" s="12" t="s">
        <v>158</v>
      </c>
      <c r="S43" s="12" t="b">
        <v>1</v>
      </c>
      <c r="T43" s="12" t="b">
        <v>1</v>
      </c>
      <c r="U43" s="12">
        <v>1</v>
      </c>
      <c r="V43" s="12" t="s">
        <v>159</v>
      </c>
      <c r="W43" s="12" t="s">
        <v>159</v>
      </c>
      <c r="X43" s="12" t="b">
        <v>1</v>
      </c>
      <c r="Y43" s="12" t="b">
        <v>1</v>
      </c>
      <c r="Z43" s="12">
        <v>1</v>
      </c>
      <c r="AA43" s="12">
        <v>1.1376999999999999</v>
      </c>
      <c r="AB43" s="12" t="s">
        <v>1303</v>
      </c>
      <c r="AC43" s="12" t="s">
        <v>1186</v>
      </c>
      <c r="AD43" s="13" t="b">
        <v>1</v>
      </c>
    </row>
    <row r="44" spans="1:30">
      <c r="A44" s="2" t="s">
        <v>162</v>
      </c>
      <c r="B44" s="2" t="s">
        <v>163</v>
      </c>
      <c r="C44" s="2" t="s">
        <v>164</v>
      </c>
      <c r="D44" s="2" t="s">
        <v>19</v>
      </c>
      <c r="E44" s="2" t="s">
        <v>20</v>
      </c>
      <c r="F44" s="2" t="s">
        <v>165</v>
      </c>
      <c r="G44" s="2" t="s">
        <v>166</v>
      </c>
      <c r="H44" s="2" t="s">
        <v>22</v>
      </c>
      <c r="I44" s="2" t="s">
        <v>167</v>
      </c>
      <c r="J44" s="2"/>
      <c r="K44" s="2"/>
      <c r="L44" t="s">
        <v>23</v>
      </c>
      <c r="M44" t="s">
        <v>24</v>
      </c>
      <c r="N44" t="s">
        <v>49</v>
      </c>
      <c r="P44" s="37" t="s">
        <v>165</v>
      </c>
      <c r="Q44" s="38" t="s">
        <v>163</v>
      </c>
      <c r="R44" s="38" t="s">
        <v>168</v>
      </c>
      <c r="S44" s="38" t="b">
        <v>0</v>
      </c>
      <c r="T44" s="38" t="b">
        <v>0</v>
      </c>
      <c r="U44" s="38"/>
      <c r="V44" s="38" t="s">
        <v>164</v>
      </c>
      <c r="W44" s="38" t="s">
        <v>169</v>
      </c>
      <c r="X44" s="38" t="b">
        <v>0</v>
      </c>
      <c r="Y44" s="38" t="b">
        <v>0</v>
      </c>
      <c r="Z44" s="38"/>
      <c r="AA44" s="38">
        <v>1.2</v>
      </c>
      <c r="AB44" s="38" t="s">
        <v>168</v>
      </c>
      <c r="AC44" s="38" t="s">
        <v>169</v>
      </c>
      <c r="AD44" s="39" t="b">
        <v>1</v>
      </c>
    </row>
    <row r="45" spans="1:30">
      <c r="A45" s="2" t="s">
        <v>165</v>
      </c>
      <c r="B45" s="2" t="s">
        <v>168</v>
      </c>
      <c r="C45" s="2" t="s">
        <v>169</v>
      </c>
      <c r="D45" s="2" t="s">
        <v>19</v>
      </c>
      <c r="E45" s="2" t="s">
        <v>20</v>
      </c>
      <c r="F45" s="2" t="s">
        <v>165</v>
      </c>
      <c r="G45" s="2" t="s">
        <v>170</v>
      </c>
      <c r="H45" s="2" t="s">
        <v>22</v>
      </c>
      <c r="I45" s="2" t="s">
        <v>171</v>
      </c>
      <c r="J45" s="2"/>
      <c r="K45" s="2"/>
      <c r="L45" t="s">
        <v>23</v>
      </c>
      <c r="M45" t="s">
        <v>24</v>
      </c>
      <c r="N45" t="s">
        <v>31</v>
      </c>
      <c r="P45" s="11" t="s">
        <v>165</v>
      </c>
      <c r="Q45" s="12" t="s">
        <v>168</v>
      </c>
      <c r="R45" s="12" t="s">
        <v>168</v>
      </c>
      <c r="S45" s="12" t="b">
        <v>1</v>
      </c>
      <c r="T45" s="12" t="b">
        <v>1</v>
      </c>
      <c r="U45" s="12">
        <v>1</v>
      </c>
      <c r="V45" s="12" t="s">
        <v>169</v>
      </c>
      <c r="W45" s="12" t="s">
        <v>169</v>
      </c>
      <c r="X45" s="12" t="b">
        <v>1</v>
      </c>
      <c r="Y45" s="12" t="b">
        <v>1</v>
      </c>
      <c r="Z45" s="12">
        <v>1</v>
      </c>
      <c r="AA45" s="12">
        <v>1.2</v>
      </c>
      <c r="AB45" s="12" t="s">
        <v>168</v>
      </c>
      <c r="AC45" s="12" t="s">
        <v>169</v>
      </c>
      <c r="AD45" s="13" t="b">
        <v>1</v>
      </c>
    </row>
    <row r="46" spans="1:30">
      <c r="A46" s="2" t="s">
        <v>172</v>
      </c>
      <c r="B46" s="2" t="s">
        <v>173</v>
      </c>
      <c r="C46" s="2" t="s">
        <v>174</v>
      </c>
      <c r="D46" s="2" t="s">
        <v>19</v>
      </c>
      <c r="E46" s="2" t="s">
        <v>20</v>
      </c>
      <c r="F46" s="2" t="s">
        <v>175</v>
      </c>
      <c r="G46" s="2" t="s">
        <v>176</v>
      </c>
      <c r="H46" s="2"/>
      <c r="I46" s="2"/>
      <c r="J46" s="2"/>
      <c r="K46" s="2"/>
      <c r="L46" t="s">
        <v>23</v>
      </c>
      <c r="M46" t="s">
        <v>24</v>
      </c>
      <c r="N46" t="s">
        <v>49</v>
      </c>
      <c r="P46" s="37" t="s">
        <v>175</v>
      </c>
      <c r="Q46" s="38" t="s">
        <v>173</v>
      </c>
      <c r="R46" s="38" t="s">
        <v>1189</v>
      </c>
      <c r="S46" s="38" t="b">
        <v>0</v>
      </c>
      <c r="T46" s="38" t="b">
        <v>0</v>
      </c>
      <c r="U46" s="38"/>
      <c r="V46" s="38" t="s">
        <v>174</v>
      </c>
      <c r="W46" s="38" t="s">
        <v>1190</v>
      </c>
      <c r="X46" s="38" t="b">
        <v>0</v>
      </c>
      <c r="Y46" s="38" t="b">
        <v>0</v>
      </c>
      <c r="Z46" s="38"/>
      <c r="AA46" s="38">
        <v>0.61980000000000002</v>
      </c>
      <c r="AB46" s="38" t="s">
        <v>1002</v>
      </c>
      <c r="AC46" s="38" t="s">
        <v>1191</v>
      </c>
      <c r="AD46" s="39" t="b">
        <v>1</v>
      </c>
    </row>
    <row r="47" spans="1:30">
      <c r="A47" t="s">
        <v>16</v>
      </c>
      <c r="B47" t="s">
        <v>17</v>
      </c>
      <c r="C47" t="s">
        <v>177</v>
      </c>
      <c r="D47" t="s">
        <v>44</v>
      </c>
      <c r="E47" t="s">
        <v>20</v>
      </c>
      <c r="F47" t="s">
        <v>178</v>
      </c>
      <c r="H47" t="s">
        <v>179</v>
      </c>
      <c r="J47">
        <v>15670</v>
      </c>
      <c r="L47" t="s">
        <v>180</v>
      </c>
      <c r="M47" t="s">
        <v>24</v>
      </c>
      <c r="N47" t="s">
        <v>49</v>
      </c>
      <c r="P47" s="11" t="s">
        <v>178</v>
      </c>
      <c r="Q47" s="12" t="s">
        <v>17</v>
      </c>
      <c r="R47" s="12" t="s">
        <v>1192</v>
      </c>
      <c r="S47" s="12" t="b">
        <v>0</v>
      </c>
      <c r="T47" s="12" t="b">
        <v>0</v>
      </c>
      <c r="U47" s="12"/>
      <c r="V47" s="12" t="s">
        <v>177</v>
      </c>
      <c r="W47" s="12" t="s">
        <v>1193</v>
      </c>
      <c r="X47" s="12" t="b">
        <v>0</v>
      </c>
      <c r="Y47" s="12" t="b">
        <v>0</v>
      </c>
      <c r="Z47" s="12"/>
      <c r="AA47" s="12">
        <v>0.6986</v>
      </c>
      <c r="AB47" s="12" t="s">
        <v>1304</v>
      </c>
      <c r="AC47" s="12" t="s">
        <v>1195</v>
      </c>
      <c r="AD47" s="13" t="b">
        <v>1</v>
      </c>
    </row>
    <row r="48" spans="1:30">
      <c r="A48" t="s">
        <v>26</v>
      </c>
      <c r="B48" t="s">
        <v>27</v>
      </c>
      <c r="C48" t="s">
        <v>181</v>
      </c>
      <c r="D48" t="s">
        <v>127</v>
      </c>
      <c r="E48" t="s">
        <v>127</v>
      </c>
      <c r="F48" t="s">
        <v>182</v>
      </c>
      <c r="H48" t="s">
        <v>183</v>
      </c>
      <c r="J48">
        <v>12867</v>
      </c>
      <c r="L48" t="s">
        <v>180</v>
      </c>
      <c r="M48" t="s">
        <v>24</v>
      </c>
      <c r="N48" t="s">
        <v>31</v>
      </c>
      <c r="P48" s="11" t="s">
        <v>182</v>
      </c>
      <c r="Q48" s="12" t="s">
        <v>27</v>
      </c>
      <c r="R48" s="12" t="s">
        <v>27</v>
      </c>
      <c r="S48" s="12" t="b">
        <v>1</v>
      </c>
      <c r="T48" s="12" t="b">
        <v>1</v>
      </c>
      <c r="U48" s="12">
        <v>1</v>
      </c>
      <c r="V48" s="12" t="s">
        <v>181</v>
      </c>
      <c r="W48" s="12" t="s">
        <v>181</v>
      </c>
      <c r="X48" s="12" t="b">
        <v>1</v>
      </c>
      <c r="Y48" s="12" t="b">
        <v>1</v>
      </c>
      <c r="Z48" s="12">
        <v>1</v>
      </c>
      <c r="AA48" s="12">
        <v>1.1752</v>
      </c>
      <c r="AB48" s="12" t="s">
        <v>1289</v>
      </c>
      <c r="AC48" s="12" t="s">
        <v>1116</v>
      </c>
      <c r="AD48" s="13" t="b">
        <v>1</v>
      </c>
    </row>
    <row r="49" spans="1:30">
      <c r="A49" t="s">
        <v>184</v>
      </c>
      <c r="B49" t="s">
        <v>185</v>
      </c>
      <c r="C49" t="s">
        <v>186</v>
      </c>
      <c r="D49" t="s">
        <v>19</v>
      </c>
      <c r="E49" t="s">
        <v>20</v>
      </c>
      <c r="F49" t="s">
        <v>187</v>
      </c>
      <c r="H49" t="s">
        <v>188</v>
      </c>
      <c r="J49">
        <v>15010</v>
      </c>
      <c r="L49" t="s">
        <v>180</v>
      </c>
      <c r="M49" t="s">
        <v>24</v>
      </c>
      <c r="N49" t="s">
        <v>25</v>
      </c>
      <c r="P49" s="11" t="s">
        <v>187</v>
      </c>
      <c r="Q49" s="12" t="s">
        <v>185</v>
      </c>
      <c r="R49" s="12" t="s">
        <v>185</v>
      </c>
      <c r="S49" s="12" t="b">
        <v>1</v>
      </c>
      <c r="T49" s="12" t="b">
        <v>1</v>
      </c>
      <c r="U49" s="12">
        <v>1</v>
      </c>
      <c r="V49" s="12" t="s">
        <v>186</v>
      </c>
      <c r="W49" s="12" t="s">
        <v>186</v>
      </c>
      <c r="X49" s="12" t="b">
        <v>1</v>
      </c>
      <c r="Y49" s="12" t="b">
        <v>1</v>
      </c>
      <c r="Z49" s="12">
        <v>1</v>
      </c>
      <c r="AA49" s="12">
        <v>1.1178999999999999</v>
      </c>
      <c r="AB49" s="12" t="s">
        <v>185</v>
      </c>
      <c r="AC49" s="12" t="s">
        <v>1197</v>
      </c>
      <c r="AD49" s="13" t="b">
        <v>1</v>
      </c>
    </row>
    <row r="50" spans="1:30">
      <c r="A50" t="s">
        <v>53</v>
      </c>
      <c r="B50" t="s">
        <v>54</v>
      </c>
      <c r="C50" t="s">
        <v>55</v>
      </c>
      <c r="D50" t="s">
        <v>19</v>
      </c>
      <c r="E50" t="s">
        <v>20</v>
      </c>
      <c r="F50" t="s">
        <v>53</v>
      </c>
      <c r="H50" t="s">
        <v>189</v>
      </c>
      <c r="J50">
        <v>5628</v>
      </c>
      <c r="L50" t="s">
        <v>180</v>
      </c>
      <c r="M50" t="s">
        <v>24</v>
      </c>
      <c r="N50" t="s">
        <v>25</v>
      </c>
      <c r="P50" s="11" t="s">
        <v>53</v>
      </c>
      <c r="Q50" s="12" t="s">
        <v>54</v>
      </c>
      <c r="R50" s="12" t="s">
        <v>54</v>
      </c>
      <c r="S50" s="12" t="b">
        <v>1</v>
      </c>
      <c r="T50" s="12" t="b">
        <v>1</v>
      </c>
      <c r="U50" s="12">
        <v>1</v>
      </c>
      <c r="V50" s="12" t="s">
        <v>55</v>
      </c>
      <c r="W50" s="12" t="s">
        <v>55</v>
      </c>
      <c r="X50" s="12" t="b">
        <v>1</v>
      </c>
      <c r="Y50" s="12" t="b">
        <v>1</v>
      </c>
      <c r="Z50" s="12">
        <v>1</v>
      </c>
      <c r="AA50" s="12">
        <v>1.1528</v>
      </c>
      <c r="AB50" s="12" t="s">
        <v>1292</v>
      </c>
      <c r="AC50" s="12" t="s">
        <v>1131</v>
      </c>
      <c r="AD50" s="13" t="b">
        <v>1</v>
      </c>
    </row>
    <row r="51" spans="1:30">
      <c r="A51" t="s">
        <v>190</v>
      </c>
      <c r="B51" t="s">
        <v>191</v>
      </c>
      <c r="C51" t="s">
        <v>192</v>
      </c>
      <c r="D51" t="s">
        <v>19</v>
      </c>
      <c r="E51" t="s">
        <v>20</v>
      </c>
      <c r="F51" t="s">
        <v>193</v>
      </c>
      <c r="H51" t="s">
        <v>22</v>
      </c>
      <c r="J51">
        <v>3130</v>
      </c>
      <c r="L51" t="s">
        <v>180</v>
      </c>
      <c r="M51" t="s">
        <v>24</v>
      </c>
      <c r="N51" t="s">
        <v>25</v>
      </c>
      <c r="P51" s="11" t="s">
        <v>193</v>
      </c>
      <c r="Q51" s="12" t="s">
        <v>191</v>
      </c>
      <c r="R51" s="12" t="s">
        <v>191</v>
      </c>
      <c r="S51" s="12" t="b">
        <v>1</v>
      </c>
      <c r="T51" s="12" t="b">
        <v>1</v>
      </c>
      <c r="U51" s="12">
        <v>1</v>
      </c>
      <c r="V51" s="12" t="s">
        <v>192</v>
      </c>
      <c r="W51" s="12" t="s">
        <v>192</v>
      </c>
      <c r="X51" s="12" t="b">
        <v>1</v>
      </c>
      <c r="Y51" s="12" t="b">
        <v>1</v>
      </c>
      <c r="Z51" s="12">
        <v>1</v>
      </c>
      <c r="AA51" s="12">
        <v>0.9</v>
      </c>
      <c r="AB51" s="12" t="s">
        <v>1004</v>
      </c>
      <c r="AC51" s="12" t="s">
        <v>1199</v>
      </c>
      <c r="AD51" s="13" t="b">
        <v>1</v>
      </c>
    </row>
    <row r="52" spans="1:30">
      <c r="A52" t="s">
        <v>68</v>
      </c>
      <c r="B52" t="s">
        <v>69</v>
      </c>
      <c r="C52" t="s">
        <v>70</v>
      </c>
      <c r="D52" t="s">
        <v>19</v>
      </c>
      <c r="E52" t="s">
        <v>20</v>
      </c>
      <c r="F52" t="s">
        <v>194</v>
      </c>
      <c r="H52" t="s">
        <v>189</v>
      </c>
      <c r="J52">
        <v>3155</v>
      </c>
      <c r="L52" t="s">
        <v>180</v>
      </c>
      <c r="M52" t="s">
        <v>24</v>
      </c>
      <c r="N52" t="s">
        <v>31</v>
      </c>
      <c r="P52" s="11" t="s">
        <v>194</v>
      </c>
      <c r="Q52" s="12" t="s">
        <v>69</v>
      </c>
      <c r="R52" s="12" t="s">
        <v>69</v>
      </c>
      <c r="S52" s="12" t="b">
        <v>1</v>
      </c>
      <c r="T52" s="12" t="b">
        <v>1</v>
      </c>
      <c r="U52" s="12">
        <v>1</v>
      </c>
      <c r="V52" s="12" t="s">
        <v>70</v>
      </c>
      <c r="W52" s="12" t="s">
        <v>70</v>
      </c>
      <c r="X52" s="12" t="b">
        <v>1</v>
      </c>
      <c r="Y52" s="12" t="b">
        <v>1</v>
      </c>
      <c r="Z52" s="12">
        <v>1</v>
      </c>
      <c r="AA52" s="12">
        <v>1.0499000000000001</v>
      </c>
      <c r="AB52" s="12" t="s">
        <v>1295</v>
      </c>
      <c r="AC52" s="12" t="s">
        <v>70</v>
      </c>
      <c r="AD52" s="13" t="b">
        <v>1</v>
      </c>
    </row>
    <row r="53" spans="1:30">
      <c r="A53" t="s">
        <v>195</v>
      </c>
      <c r="B53" t="s">
        <v>196</v>
      </c>
      <c r="C53" t="s">
        <v>197</v>
      </c>
      <c r="D53" t="s">
        <v>19</v>
      </c>
      <c r="E53" t="s">
        <v>20</v>
      </c>
      <c r="F53" t="s">
        <v>198</v>
      </c>
      <c r="H53" t="s">
        <v>189</v>
      </c>
      <c r="J53">
        <v>3098</v>
      </c>
      <c r="L53" t="s">
        <v>180</v>
      </c>
      <c r="M53" t="s">
        <v>24</v>
      </c>
      <c r="N53" t="s">
        <v>25</v>
      </c>
      <c r="P53" s="11" t="s">
        <v>198</v>
      </c>
      <c r="Q53" s="12" t="s">
        <v>196</v>
      </c>
      <c r="R53" s="12" t="s">
        <v>335</v>
      </c>
      <c r="S53" s="12" t="b">
        <v>0</v>
      </c>
      <c r="T53" s="12" t="b">
        <v>1</v>
      </c>
      <c r="U53" s="12">
        <v>2</v>
      </c>
      <c r="V53" s="12" t="s">
        <v>197</v>
      </c>
      <c r="W53" s="12" t="s">
        <v>1305</v>
      </c>
      <c r="X53" s="12" t="b">
        <v>0</v>
      </c>
      <c r="Y53" s="12" t="b">
        <v>0</v>
      </c>
      <c r="Z53" s="12"/>
      <c r="AA53" s="12">
        <v>0.89019999999999999</v>
      </c>
      <c r="AB53" s="12" t="s">
        <v>1306</v>
      </c>
      <c r="AC53" s="12" t="s">
        <v>1307</v>
      </c>
      <c r="AD53" s="13" t="b">
        <v>1</v>
      </c>
    </row>
    <row r="54" spans="1:30">
      <c r="A54" t="s">
        <v>199</v>
      </c>
      <c r="B54" t="s">
        <v>200</v>
      </c>
      <c r="C54" t="s">
        <v>201</v>
      </c>
      <c r="D54" t="s">
        <v>19</v>
      </c>
      <c r="E54" t="s">
        <v>20</v>
      </c>
      <c r="F54" t="s">
        <v>202</v>
      </c>
      <c r="H54" t="s">
        <v>203</v>
      </c>
      <c r="J54">
        <v>3240</v>
      </c>
      <c r="L54" t="s">
        <v>180</v>
      </c>
      <c r="M54" t="s">
        <v>24</v>
      </c>
      <c r="N54" t="s">
        <v>25</v>
      </c>
      <c r="P54" s="11" t="s">
        <v>202</v>
      </c>
      <c r="Q54" s="12" t="s">
        <v>200</v>
      </c>
      <c r="R54" s="12" t="s">
        <v>200</v>
      </c>
      <c r="S54" s="12" t="b">
        <v>1</v>
      </c>
      <c r="T54" s="12" t="b">
        <v>1</v>
      </c>
      <c r="U54" s="12">
        <v>1</v>
      </c>
      <c r="V54" s="12" t="s">
        <v>201</v>
      </c>
      <c r="W54" s="12" t="s">
        <v>201</v>
      </c>
      <c r="X54" s="12" t="b">
        <v>1</v>
      </c>
      <c r="Y54" s="12" t="b">
        <v>1</v>
      </c>
      <c r="Z54" s="12">
        <v>1</v>
      </c>
      <c r="AA54" s="12">
        <v>1.1129</v>
      </c>
      <c r="AB54" s="12" t="s">
        <v>1308</v>
      </c>
      <c r="AC54" s="12" t="s">
        <v>1203</v>
      </c>
      <c r="AD54" s="13" t="b">
        <v>1</v>
      </c>
    </row>
    <row r="55" spans="1:30">
      <c r="A55" t="s">
        <v>204</v>
      </c>
      <c r="B55" t="s">
        <v>205</v>
      </c>
      <c r="C55" t="s">
        <v>206</v>
      </c>
      <c r="D55" t="s">
        <v>19</v>
      </c>
      <c r="E55" t="s">
        <v>20</v>
      </c>
      <c r="F55" t="s">
        <v>207</v>
      </c>
      <c r="H55" t="s">
        <v>208</v>
      </c>
      <c r="J55">
        <v>10566</v>
      </c>
      <c r="L55" t="s">
        <v>180</v>
      </c>
      <c r="M55" t="s">
        <v>24</v>
      </c>
      <c r="N55" t="s">
        <v>31</v>
      </c>
      <c r="P55" s="11" t="s">
        <v>207</v>
      </c>
      <c r="Q55" s="12" t="s">
        <v>205</v>
      </c>
      <c r="R55" s="12" t="s">
        <v>205</v>
      </c>
      <c r="S55" s="12" t="b">
        <v>1</v>
      </c>
      <c r="T55" s="12" t="b">
        <v>1</v>
      </c>
      <c r="U55" s="12">
        <v>1</v>
      </c>
      <c r="V55" s="12" t="s">
        <v>206</v>
      </c>
      <c r="W55" s="12" t="s">
        <v>206</v>
      </c>
      <c r="X55" s="12" t="b">
        <v>1</v>
      </c>
      <c r="Y55" s="12" t="b">
        <v>1</v>
      </c>
      <c r="Z55" s="12">
        <v>1</v>
      </c>
      <c r="AA55" s="12">
        <v>1.2</v>
      </c>
      <c r="AB55" s="12" t="s">
        <v>1309</v>
      </c>
      <c r="AC55" s="12" t="s">
        <v>1205</v>
      </c>
      <c r="AD55" s="13" t="b">
        <v>1</v>
      </c>
    </row>
    <row r="56" spans="1:30">
      <c r="A56" t="s">
        <v>209</v>
      </c>
      <c r="B56" t="s">
        <v>210</v>
      </c>
      <c r="C56" t="s">
        <v>211</v>
      </c>
      <c r="D56" t="s">
        <v>19</v>
      </c>
      <c r="E56" t="s">
        <v>20</v>
      </c>
      <c r="F56" t="s">
        <v>212</v>
      </c>
      <c r="H56" t="s">
        <v>189</v>
      </c>
      <c r="J56">
        <v>9059</v>
      </c>
      <c r="L56" t="s">
        <v>180</v>
      </c>
      <c r="M56" t="s">
        <v>24</v>
      </c>
      <c r="N56" t="s">
        <v>25</v>
      </c>
      <c r="P56" s="11" t="s">
        <v>212</v>
      </c>
      <c r="Q56" s="12" t="s">
        <v>210</v>
      </c>
      <c r="R56" s="12" t="s">
        <v>210</v>
      </c>
      <c r="S56" s="12" t="b">
        <v>1</v>
      </c>
      <c r="T56" s="12" t="b">
        <v>1</v>
      </c>
      <c r="U56" s="12">
        <v>1</v>
      </c>
      <c r="V56" s="12" t="s">
        <v>211</v>
      </c>
      <c r="W56" s="12" t="s">
        <v>500</v>
      </c>
      <c r="X56" s="12" t="b">
        <v>0</v>
      </c>
      <c r="Y56" s="12" t="b">
        <v>1</v>
      </c>
      <c r="Z56" s="12">
        <v>3</v>
      </c>
      <c r="AA56" s="12">
        <v>1.1357999999999999</v>
      </c>
      <c r="AB56" s="12" t="s">
        <v>210</v>
      </c>
      <c r="AC56" s="12" t="s">
        <v>1207</v>
      </c>
      <c r="AD56" s="13" t="b">
        <v>1</v>
      </c>
    </row>
    <row r="57" spans="1:30">
      <c r="A57" t="s">
        <v>213</v>
      </c>
      <c r="B57" t="s">
        <v>214</v>
      </c>
      <c r="C57" t="s">
        <v>215</v>
      </c>
      <c r="D57" t="s">
        <v>44</v>
      </c>
      <c r="E57" t="s">
        <v>20</v>
      </c>
      <c r="F57" t="s">
        <v>216</v>
      </c>
      <c r="H57" t="s">
        <v>217</v>
      </c>
      <c r="J57">
        <v>10523</v>
      </c>
      <c r="L57" t="s">
        <v>180</v>
      </c>
      <c r="M57" t="s">
        <v>24</v>
      </c>
      <c r="N57" t="s">
        <v>49</v>
      </c>
      <c r="P57" s="37" t="s">
        <v>216</v>
      </c>
      <c r="Q57" s="38" t="s">
        <v>214</v>
      </c>
      <c r="R57" s="38" t="s">
        <v>1310</v>
      </c>
      <c r="S57" s="38" t="b">
        <v>0</v>
      </c>
      <c r="T57" s="38" t="b">
        <v>0</v>
      </c>
      <c r="U57" s="38"/>
      <c r="V57" s="38" t="s">
        <v>215</v>
      </c>
      <c r="W57" s="38" t="s">
        <v>650</v>
      </c>
      <c r="X57" s="38" t="b">
        <v>0</v>
      </c>
      <c r="Y57" s="38" t="b">
        <v>0</v>
      </c>
      <c r="Z57" s="38"/>
      <c r="AA57" s="38">
        <v>0.9093</v>
      </c>
      <c r="AB57" s="38" t="s">
        <v>1311</v>
      </c>
      <c r="AC57" s="38" t="s">
        <v>1312</v>
      </c>
      <c r="AD57" s="39" t="b">
        <v>1</v>
      </c>
    </row>
    <row r="58" spans="1:30">
      <c r="A58" t="s">
        <v>213</v>
      </c>
      <c r="B58" t="s">
        <v>214</v>
      </c>
      <c r="C58" t="s">
        <v>218</v>
      </c>
      <c r="D58" t="s">
        <v>19</v>
      </c>
      <c r="E58" t="s">
        <v>20</v>
      </c>
      <c r="F58" t="s">
        <v>216</v>
      </c>
      <c r="H58" t="s">
        <v>219</v>
      </c>
      <c r="J58">
        <v>10521</v>
      </c>
      <c r="L58" t="s">
        <v>180</v>
      </c>
      <c r="M58" t="s">
        <v>24</v>
      </c>
      <c r="N58" t="s">
        <v>49</v>
      </c>
      <c r="P58" s="37" t="s">
        <v>216</v>
      </c>
      <c r="Q58" s="38" t="s">
        <v>214</v>
      </c>
      <c r="R58" s="38" t="s">
        <v>925</v>
      </c>
      <c r="S58" s="38" t="b">
        <v>0</v>
      </c>
      <c r="T58" s="38" t="b">
        <v>0</v>
      </c>
      <c r="U58" s="38"/>
      <c r="V58" s="38" t="s">
        <v>218</v>
      </c>
      <c r="W58" s="38" t="s">
        <v>652</v>
      </c>
      <c r="X58" s="38" t="b">
        <v>0</v>
      </c>
      <c r="Y58" s="38" t="b">
        <v>0</v>
      </c>
      <c r="Z58" s="38"/>
      <c r="AA58" s="38">
        <v>0.82720000000000005</v>
      </c>
      <c r="AB58" s="38" t="s">
        <v>1008</v>
      </c>
      <c r="AC58" s="38" t="s">
        <v>1210</v>
      </c>
      <c r="AD58" s="39" t="b">
        <v>1</v>
      </c>
    </row>
    <row r="59" spans="1:30">
      <c r="A59" t="s">
        <v>220</v>
      </c>
      <c r="B59" t="s">
        <v>221</v>
      </c>
      <c r="C59" t="s">
        <v>222</v>
      </c>
      <c r="D59" t="s">
        <v>19</v>
      </c>
      <c r="E59" t="s">
        <v>20</v>
      </c>
      <c r="F59" t="s">
        <v>223</v>
      </c>
      <c r="H59" t="s">
        <v>22</v>
      </c>
      <c r="J59">
        <v>9770</v>
      </c>
      <c r="L59" t="s">
        <v>180</v>
      </c>
      <c r="M59" t="s">
        <v>24</v>
      </c>
      <c r="N59" t="s">
        <v>49</v>
      </c>
      <c r="P59" s="11" t="s">
        <v>223</v>
      </c>
      <c r="Q59" s="12" t="s">
        <v>221</v>
      </c>
      <c r="R59" s="12" t="s">
        <v>221</v>
      </c>
      <c r="S59" s="12" t="b">
        <v>1</v>
      </c>
      <c r="T59" s="12" t="b">
        <v>1</v>
      </c>
      <c r="U59" s="12">
        <v>1</v>
      </c>
      <c r="V59" s="12" t="s">
        <v>222</v>
      </c>
      <c r="W59" s="12" t="s">
        <v>222</v>
      </c>
      <c r="X59" s="12" t="b">
        <v>1</v>
      </c>
      <c r="Y59" s="12" t="b">
        <v>1</v>
      </c>
      <c r="Z59" s="12">
        <v>1</v>
      </c>
      <c r="AA59" s="12">
        <v>1.1335</v>
      </c>
      <c r="AB59" s="12" t="s">
        <v>221</v>
      </c>
      <c r="AC59" s="12" t="s">
        <v>1212</v>
      </c>
      <c r="AD59" s="13" t="b">
        <v>1</v>
      </c>
    </row>
    <row r="60" spans="1:30">
      <c r="A60" t="s">
        <v>224</v>
      </c>
      <c r="B60" t="s">
        <v>148</v>
      </c>
      <c r="C60" t="s">
        <v>149</v>
      </c>
      <c r="D60" t="s">
        <v>19</v>
      </c>
      <c r="E60" t="s">
        <v>20</v>
      </c>
      <c r="F60" t="s">
        <v>225</v>
      </c>
      <c r="H60" t="s">
        <v>226</v>
      </c>
      <c r="J60">
        <v>15418</v>
      </c>
      <c r="L60" t="s">
        <v>180</v>
      </c>
      <c r="M60" t="s">
        <v>24</v>
      </c>
      <c r="N60" t="s">
        <v>25</v>
      </c>
      <c r="P60" s="11" t="s">
        <v>225</v>
      </c>
      <c r="Q60" s="12" t="s">
        <v>148</v>
      </c>
      <c r="R60" s="12" t="s">
        <v>148</v>
      </c>
      <c r="S60" s="12" t="b">
        <v>1</v>
      </c>
      <c r="T60" s="12" t="b">
        <v>1</v>
      </c>
      <c r="U60" s="12">
        <v>1</v>
      </c>
      <c r="V60" s="12" t="s">
        <v>149</v>
      </c>
      <c r="W60" s="12" t="s">
        <v>149</v>
      </c>
      <c r="X60" s="12" t="b">
        <v>1</v>
      </c>
      <c r="Y60" s="12" t="b">
        <v>1</v>
      </c>
      <c r="Z60" s="12">
        <v>1</v>
      </c>
      <c r="AA60" s="12">
        <v>0.99450000000000005</v>
      </c>
      <c r="AB60" s="12" t="s">
        <v>1302</v>
      </c>
      <c r="AC60" s="12" t="s">
        <v>1180</v>
      </c>
      <c r="AD60" s="13" t="b">
        <v>1</v>
      </c>
    </row>
    <row r="61" spans="1:30">
      <c r="A61" t="s">
        <v>227</v>
      </c>
      <c r="B61" t="s">
        <v>158</v>
      </c>
      <c r="C61" t="s">
        <v>159</v>
      </c>
      <c r="D61" t="s">
        <v>19</v>
      </c>
      <c r="E61" t="s">
        <v>20</v>
      </c>
      <c r="F61" t="s">
        <v>228</v>
      </c>
      <c r="H61" t="s">
        <v>229</v>
      </c>
      <c r="J61">
        <v>12829</v>
      </c>
      <c r="L61" t="s">
        <v>180</v>
      </c>
      <c r="M61" t="s">
        <v>24</v>
      </c>
      <c r="N61" t="s">
        <v>49</v>
      </c>
      <c r="P61" s="37" t="s">
        <v>228</v>
      </c>
      <c r="Q61" s="38" t="s">
        <v>158</v>
      </c>
      <c r="R61" s="38" t="s">
        <v>1010</v>
      </c>
      <c r="S61" s="38" t="b">
        <v>0</v>
      </c>
      <c r="T61" s="38" t="b">
        <v>1</v>
      </c>
      <c r="U61" s="38">
        <v>5</v>
      </c>
      <c r="V61" s="38" t="s">
        <v>159</v>
      </c>
      <c r="W61" s="38" t="s">
        <v>1213</v>
      </c>
      <c r="X61" s="38" t="b">
        <v>0</v>
      </c>
      <c r="Y61" s="38" t="b">
        <v>0</v>
      </c>
      <c r="Z61" s="38"/>
      <c r="AA61" s="38">
        <v>0.81979999999999997</v>
      </c>
      <c r="AB61" s="38" t="s">
        <v>1313</v>
      </c>
      <c r="AC61" s="38" t="s">
        <v>1214</v>
      </c>
      <c r="AD61" s="39" t="b">
        <v>1</v>
      </c>
    </row>
    <row r="62" spans="1:30">
      <c r="A62" t="s">
        <v>230</v>
      </c>
      <c r="B62" t="s">
        <v>231</v>
      </c>
      <c r="C62" t="s">
        <v>232</v>
      </c>
      <c r="D62" t="s">
        <v>127</v>
      </c>
      <c r="E62" t="s">
        <v>127</v>
      </c>
      <c r="F62" t="s">
        <v>233</v>
      </c>
      <c r="H62" t="s">
        <v>234</v>
      </c>
      <c r="J62">
        <v>23253</v>
      </c>
      <c r="L62" t="s">
        <v>180</v>
      </c>
      <c r="M62" t="s">
        <v>24</v>
      </c>
      <c r="N62" t="s">
        <v>49</v>
      </c>
      <c r="P62" s="37" t="s">
        <v>233</v>
      </c>
      <c r="Q62" s="38" t="s">
        <v>231</v>
      </c>
      <c r="R62" s="38" t="s">
        <v>233</v>
      </c>
      <c r="S62" s="38" t="b">
        <v>0</v>
      </c>
      <c r="T62" s="38" t="b">
        <v>0</v>
      </c>
      <c r="U62" s="38"/>
      <c r="V62" s="38" t="s">
        <v>232</v>
      </c>
      <c r="W62" s="38" t="s">
        <v>516</v>
      </c>
      <c r="X62" s="38" t="b">
        <v>0</v>
      </c>
      <c r="Y62" s="38" t="b">
        <v>0</v>
      </c>
      <c r="Z62" s="38"/>
      <c r="AA62" s="38">
        <v>0.9</v>
      </c>
      <c r="AB62" s="38" t="s">
        <v>1314</v>
      </c>
      <c r="AC62" s="38" t="s">
        <v>1216</v>
      </c>
      <c r="AD62" s="39" t="b">
        <v>1</v>
      </c>
    </row>
    <row r="63" spans="1:30">
      <c r="A63" t="s">
        <v>235</v>
      </c>
      <c r="B63" t="s">
        <v>236</v>
      </c>
      <c r="C63" t="s">
        <v>237</v>
      </c>
      <c r="D63" t="s">
        <v>19</v>
      </c>
      <c r="E63" t="s">
        <v>20</v>
      </c>
      <c r="F63" t="s">
        <v>238</v>
      </c>
      <c r="H63" t="s">
        <v>239</v>
      </c>
      <c r="J63">
        <v>13567</v>
      </c>
      <c r="L63" t="s">
        <v>180</v>
      </c>
      <c r="M63" t="s">
        <v>24</v>
      </c>
      <c r="N63" t="s">
        <v>49</v>
      </c>
      <c r="P63" s="37" t="s">
        <v>238</v>
      </c>
      <c r="Q63" s="38" t="s">
        <v>236</v>
      </c>
      <c r="R63" s="38"/>
      <c r="S63" s="38" t="b">
        <v>0</v>
      </c>
      <c r="T63" s="38" t="b">
        <v>0</v>
      </c>
      <c r="U63" s="38"/>
      <c r="V63" s="38" t="s">
        <v>237</v>
      </c>
      <c r="W63" s="38"/>
      <c r="X63" s="38" t="b">
        <v>0</v>
      </c>
      <c r="Y63" s="38" t="b">
        <v>0</v>
      </c>
      <c r="Z63" s="38"/>
      <c r="AA63" s="38"/>
      <c r="AB63" s="38"/>
      <c r="AC63" s="38"/>
      <c r="AD63" s="39" t="b">
        <v>0</v>
      </c>
    </row>
    <row r="64" spans="1:30">
      <c r="A64" t="s">
        <v>240</v>
      </c>
      <c r="B64" t="s">
        <v>241</v>
      </c>
      <c r="C64" t="s">
        <v>242</v>
      </c>
      <c r="D64" t="s">
        <v>19</v>
      </c>
      <c r="E64" t="s">
        <v>20</v>
      </c>
      <c r="F64" t="s">
        <v>243</v>
      </c>
      <c r="H64" t="s">
        <v>244</v>
      </c>
      <c r="J64">
        <v>11807</v>
      </c>
      <c r="L64" t="s">
        <v>180</v>
      </c>
      <c r="M64" t="s">
        <v>24</v>
      </c>
      <c r="N64" t="s">
        <v>31</v>
      </c>
      <c r="P64" s="11" t="s">
        <v>243</v>
      </c>
      <c r="Q64" s="12" t="s">
        <v>241</v>
      </c>
      <c r="R64" s="12" t="s">
        <v>241</v>
      </c>
      <c r="S64" s="12" t="b">
        <v>1</v>
      </c>
      <c r="T64" s="12" t="b">
        <v>1</v>
      </c>
      <c r="U64" s="12">
        <v>1</v>
      </c>
      <c r="V64" s="12" t="s">
        <v>242</v>
      </c>
      <c r="W64" s="12" t="s">
        <v>1219</v>
      </c>
      <c r="X64" s="12" t="b">
        <v>0</v>
      </c>
      <c r="Y64" s="12" t="b">
        <v>1</v>
      </c>
      <c r="Z64" s="12">
        <v>2</v>
      </c>
      <c r="AA64" s="12">
        <v>0.99409999999999998</v>
      </c>
      <c r="AB64" s="12" t="s">
        <v>1013</v>
      </c>
      <c r="AC64" s="12" t="s">
        <v>1221</v>
      </c>
      <c r="AD64" s="13" t="b">
        <v>1</v>
      </c>
    </row>
    <row r="65" spans="1:30">
      <c r="A65" t="s">
        <v>245</v>
      </c>
      <c r="B65" t="s">
        <v>246</v>
      </c>
      <c r="C65" t="s">
        <v>247</v>
      </c>
      <c r="D65" t="s">
        <v>19</v>
      </c>
      <c r="E65" t="s">
        <v>20</v>
      </c>
      <c r="F65" t="s">
        <v>248</v>
      </c>
      <c r="H65" t="s">
        <v>249</v>
      </c>
      <c r="J65">
        <v>14568</v>
      </c>
      <c r="L65" t="s">
        <v>180</v>
      </c>
      <c r="M65" t="s">
        <v>24</v>
      </c>
      <c r="N65" t="s">
        <v>31</v>
      </c>
      <c r="P65" s="11" t="s">
        <v>248</v>
      </c>
      <c r="Q65" s="12" t="s">
        <v>246</v>
      </c>
      <c r="R65" s="12" t="s">
        <v>246</v>
      </c>
      <c r="S65" s="12" t="b">
        <v>1</v>
      </c>
      <c r="T65" s="12" t="b">
        <v>1</v>
      </c>
      <c r="U65" s="12">
        <v>1</v>
      </c>
      <c r="V65" s="12" t="s">
        <v>247</v>
      </c>
      <c r="W65" s="12" t="s">
        <v>1222</v>
      </c>
      <c r="X65" s="12" t="b">
        <v>0</v>
      </c>
      <c r="Y65" s="12" t="b">
        <v>1</v>
      </c>
      <c r="Z65" s="12">
        <v>2</v>
      </c>
      <c r="AA65" s="12">
        <v>0.9</v>
      </c>
      <c r="AB65" s="12" t="s">
        <v>1014</v>
      </c>
      <c r="AC65" s="12" t="s">
        <v>1224</v>
      </c>
      <c r="AD65" s="13" t="b">
        <v>1</v>
      </c>
    </row>
    <row r="66" spans="1:30">
      <c r="A66" t="s">
        <v>184</v>
      </c>
      <c r="B66" t="s">
        <v>185</v>
      </c>
      <c r="C66" t="s">
        <v>186</v>
      </c>
      <c r="D66" t="s">
        <v>19</v>
      </c>
      <c r="E66" t="s">
        <v>20</v>
      </c>
      <c r="F66" t="s">
        <v>184</v>
      </c>
      <c r="H66" t="s">
        <v>250</v>
      </c>
      <c r="K66" t="s">
        <v>251</v>
      </c>
      <c r="L66" t="s">
        <v>252</v>
      </c>
      <c r="M66" t="s">
        <v>24</v>
      </c>
      <c r="N66" t="s">
        <v>25</v>
      </c>
      <c r="P66" s="11" t="s">
        <v>184</v>
      </c>
      <c r="Q66" s="12" t="s">
        <v>185</v>
      </c>
      <c r="R66" s="12" t="s">
        <v>185</v>
      </c>
      <c r="S66" s="12" t="b">
        <v>1</v>
      </c>
      <c r="T66" s="12" t="b">
        <v>1</v>
      </c>
      <c r="U66" s="12">
        <v>1</v>
      </c>
      <c r="V66" s="12" t="s">
        <v>186</v>
      </c>
      <c r="W66" s="12" t="s">
        <v>186</v>
      </c>
      <c r="X66" s="12" t="b">
        <v>1</v>
      </c>
      <c r="Y66" s="12" t="b">
        <v>1</v>
      </c>
      <c r="Z66" s="12">
        <v>1</v>
      </c>
      <c r="AA66" s="12">
        <v>1.1178999999999999</v>
      </c>
      <c r="AB66" s="12" t="s">
        <v>185</v>
      </c>
      <c r="AC66" s="12" t="s">
        <v>1197</v>
      </c>
      <c r="AD66" s="13" t="b">
        <v>1</v>
      </c>
    </row>
    <row r="67" spans="1:30">
      <c r="A67" t="s">
        <v>253</v>
      </c>
      <c r="B67" t="s">
        <v>214</v>
      </c>
      <c r="C67" t="s">
        <v>254</v>
      </c>
      <c r="D67" t="s">
        <v>127</v>
      </c>
      <c r="E67" t="s">
        <v>127</v>
      </c>
      <c r="F67" t="s">
        <v>253</v>
      </c>
      <c r="H67" t="s">
        <v>127</v>
      </c>
      <c r="K67">
        <v>1680</v>
      </c>
      <c r="L67" t="s">
        <v>252</v>
      </c>
      <c r="M67" t="s">
        <v>24</v>
      </c>
      <c r="N67" t="s">
        <v>31</v>
      </c>
      <c r="P67" s="11" t="s">
        <v>253</v>
      </c>
      <c r="Q67" s="12" t="s">
        <v>214</v>
      </c>
      <c r="R67" s="12" t="s">
        <v>214</v>
      </c>
      <c r="S67" s="12" t="b">
        <v>1</v>
      </c>
      <c r="T67" s="12" t="b">
        <v>1</v>
      </c>
      <c r="U67" s="12">
        <v>1</v>
      </c>
      <c r="V67" s="12" t="s">
        <v>254</v>
      </c>
      <c r="W67" s="12" t="s">
        <v>254</v>
      </c>
      <c r="X67" s="12" t="b">
        <v>1</v>
      </c>
      <c r="Y67" s="12" t="b">
        <v>1</v>
      </c>
      <c r="Z67" s="12">
        <v>1</v>
      </c>
      <c r="AA67" s="12">
        <v>1.2</v>
      </c>
      <c r="AB67" s="12" t="s">
        <v>1015</v>
      </c>
      <c r="AC67" s="12" t="s">
        <v>1225</v>
      </c>
      <c r="AD67" s="13" t="b">
        <v>1</v>
      </c>
    </row>
    <row r="68" spans="1:30">
      <c r="A68" t="s">
        <v>255</v>
      </c>
      <c r="B68" t="s">
        <v>256</v>
      </c>
      <c r="C68" t="s">
        <v>257</v>
      </c>
      <c r="D68" t="s">
        <v>79</v>
      </c>
      <c r="E68" t="s">
        <v>20</v>
      </c>
      <c r="F68" t="s">
        <v>258</v>
      </c>
      <c r="H68" t="s">
        <v>259</v>
      </c>
      <c r="K68" t="s">
        <v>260</v>
      </c>
      <c r="L68" t="s">
        <v>252</v>
      </c>
      <c r="M68" t="s">
        <v>24</v>
      </c>
      <c r="N68" t="s">
        <v>31</v>
      </c>
      <c r="P68" s="11" t="s">
        <v>1016</v>
      </c>
      <c r="Q68" s="12" t="s">
        <v>256</v>
      </c>
      <c r="R68" s="12" t="s">
        <v>256</v>
      </c>
      <c r="S68" s="12" t="b">
        <v>1</v>
      </c>
      <c r="T68" s="12" t="b">
        <v>1</v>
      </c>
      <c r="U68" s="12">
        <v>1</v>
      </c>
      <c r="V68" s="12" t="s">
        <v>257</v>
      </c>
      <c r="W68" s="12" t="s">
        <v>257</v>
      </c>
      <c r="X68" s="12" t="b">
        <v>1</v>
      </c>
      <c r="Y68" s="12" t="b">
        <v>1</v>
      </c>
      <c r="Z68" s="12">
        <v>1</v>
      </c>
      <c r="AA68" s="12">
        <v>1.2</v>
      </c>
      <c r="AB68" s="12" t="s">
        <v>256</v>
      </c>
      <c r="AC68" s="12" t="s">
        <v>531</v>
      </c>
      <c r="AD68" s="13" t="b">
        <v>1</v>
      </c>
    </row>
    <row r="69" spans="1:30">
      <c r="A69" t="s">
        <v>261</v>
      </c>
      <c r="B69" t="s">
        <v>262</v>
      </c>
      <c r="C69" t="s">
        <v>263</v>
      </c>
      <c r="D69" t="s">
        <v>19</v>
      </c>
      <c r="E69" t="s">
        <v>20</v>
      </c>
      <c r="F69" t="s">
        <v>261</v>
      </c>
      <c r="H69" t="s">
        <v>189</v>
      </c>
      <c r="K69" t="s">
        <v>264</v>
      </c>
      <c r="L69" t="s">
        <v>252</v>
      </c>
      <c r="M69" t="s">
        <v>24</v>
      </c>
      <c r="N69" t="s">
        <v>31</v>
      </c>
      <c r="P69" s="11" t="s">
        <v>261</v>
      </c>
      <c r="Q69" s="12" t="s">
        <v>262</v>
      </c>
      <c r="R69" s="12" t="s">
        <v>262</v>
      </c>
      <c r="S69" s="12" t="b">
        <v>1</v>
      </c>
      <c r="T69" s="12" t="b">
        <v>1</v>
      </c>
      <c r="U69" s="12">
        <v>1</v>
      </c>
      <c r="V69" s="12" t="s">
        <v>263</v>
      </c>
      <c r="W69" s="12" t="s">
        <v>263</v>
      </c>
      <c r="X69" s="12" t="b">
        <v>1</v>
      </c>
      <c r="Y69" s="12" t="b">
        <v>1</v>
      </c>
      <c r="Z69" s="12">
        <v>1</v>
      </c>
      <c r="AA69" s="12">
        <v>1.2</v>
      </c>
      <c r="AB69" s="12" t="s">
        <v>1315</v>
      </c>
      <c r="AC69" s="12" t="s">
        <v>1228</v>
      </c>
      <c r="AD69" s="13" t="b">
        <v>1</v>
      </c>
    </row>
    <row r="70" spans="1:30">
      <c r="A70" t="s">
        <v>265</v>
      </c>
      <c r="B70" t="s">
        <v>266</v>
      </c>
      <c r="C70" t="s">
        <v>267</v>
      </c>
      <c r="D70" t="s">
        <v>19</v>
      </c>
      <c r="E70" t="s">
        <v>20</v>
      </c>
      <c r="F70" t="s">
        <v>268</v>
      </c>
      <c r="H70" t="s">
        <v>269</v>
      </c>
      <c r="K70">
        <v>2207</v>
      </c>
      <c r="L70" t="s">
        <v>252</v>
      </c>
      <c r="M70" t="s">
        <v>24</v>
      </c>
      <c r="N70" t="s">
        <v>49</v>
      </c>
      <c r="P70" s="11" t="s">
        <v>268</v>
      </c>
      <c r="Q70" s="12" t="s">
        <v>266</v>
      </c>
      <c r="R70" s="12" t="s">
        <v>266</v>
      </c>
      <c r="S70" s="12" t="b">
        <v>1</v>
      </c>
      <c r="T70" s="12" t="b">
        <v>1</v>
      </c>
      <c r="U70" s="12">
        <v>1</v>
      </c>
      <c r="V70" s="12" t="s">
        <v>267</v>
      </c>
      <c r="W70" s="12" t="s">
        <v>1229</v>
      </c>
      <c r="X70" s="12" t="b">
        <v>0</v>
      </c>
      <c r="Y70" s="12" t="b">
        <v>1</v>
      </c>
      <c r="Z70" s="12">
        <v>2</v>
      </c>
      <c r="AA70" s="12">
        <v>1.0848</v>
      </c>
      <c r="AB70" s="12" t="s">
        <v>266</v>
      </c>
      <c r="AC70" s="12" t="s">
        <v>1231</v>
      </c>
      <c r="AD70" s="13" t="b">
        <v>1</v>
      </c>
    </row>
    <row r="71" spans="1:30">
      <c r="A71" t="s">
        <v>270</v>
      </c>
      <c r="B71" t="s">
        <v>271</v>
      </c>
      <c r="C71" s="3" t="s">
        <v>272</v>
      </c>
      <c r="D71" t="s">
        <v>79</v>
      </c>
      <c r="E71" t="s">
        <v>20</v>
      </c>
      <c r="F71" t="s">
        <v>273</v>
      </c>
      <c r="H71" t="s">
        <v>259</v>
      </c>
      <c r="K71">
        <v>1915</v>
      </c>
      <c r="L71" t="s">
        <v>252</v>
      </c>
      <c r="M71" t="s">
        <v>24</v>
      </c>
      <c r="N71" t="s">
        <v>25</v>
      </c>
      <c r="P71" s="11" t="s">
        <v>273</v>
      </c>
      <c r="Q71" s="12" t="s">
        <v>271</v>
      </c>
      <c r="R71" s="12" t="s">
        <v>271</v>
      </c>
      <c r="S71" s="12" t="b">
        <v>1</v>
      </c>
      <c r="T71" s="12" t="b">
        <v>1</v>
      </c>
      <c r="U71" s="12">
        <v>1</v>
      </c>
      <c r="V71" s="12" t="s">
        <v>272</v>
      </c>
      <c r="W71" s="12" t="s">
        <v>272</v>
      </c>
      <c r="X71" s="12" t="b">
        <v>1</v>
      </c>
      <c r="Y71" s="12" t="b">
        <v>1</v>
      </c>
      <c r="Z71" s="12">
        <v>1</v>
      </c>
      <c r="AA71" s="12">
        <v>0.85899999999999999</v>
      </c>
      <c r="AB71" s="12" t="s">
        <v>271</v>
      </c>
      <c r="AC71" s="12" t="s">
        <v>1233</v>
      </c>
      <c r="AD71" s="13" t="b">
        <v>1</v>
      </c>
    </row>
    <row r="72" spans="1:30">
      <c r="A72" t="s">
        <v>274</v>
      </c>
      <c r="B72" t="s">
        <v>275</v>
      </c>
      <c r="C72" t="s">
        <v>276</v>
      </c>
      <c r="D72" t="s">
        <v>44</v>
      </c>
      <c r="E72" t="s">
        <v>20</v>
      </c>
      <c r="F72" t="s">
        <v>277</v>
      </c>
      <c r="H72" t="s">
        <v>278</v>
      </c>
      <c r="K72">
        <v>1926</v>
      </c>
      <c r="L72" t="s">
        <v>252</v>
      </c>
      <c r="M72" t="s">
        <v>24</v>
      </c>
      <c r="N72" t="s">
        <v>31</v>
      </c>
      <c r="P72" s="11" t="s">
        <v>277</v>
      </c>
      <c r="Q72" s="12" t="s">
        <v>275</v>
      </c>
      <c r="R72" s="12" t="s">
        <v>275</v>
      </c>
      <c r="S72" s="12" t="b">
        <v>1</v>
      </c>
      <c r="T72" s="12" t="b">
        <v>1</v>
      </c>
      <c r="U72" s="12">
        <v>1</v>
      </c>
      <c r="V72" s="12" t="s">
        <v>276</v>
      </c>
      <c r="W72" s="12" t="s">
        <v>276</v>
      </c>
      <c r="X72" s="12" t="b">
        <v>1</v>
      </c>
      <c r="Y72" s="12" t="b">
        <v>1</v>
      </c>
      <c r="Z72" s="12">
        <v>1</v>
      </c>
      <c r="AA72" s="12">
        <v>1</v>
      </c>
      <c r="AB72" s="12" t="s">
        <v>275</v>
      </c>
      <c r="AC72" s="12" t="s">
        <v>1234</v>
      </c>
      <c r="AD72" s="13" t="b">
        <v>1</v>
      </c>
    </row>
    <row r="73" spans="1:30">
      <c r="A73" t="s">
        <v>279</v>
      </c>
      <c r="B73" t="s">
        <v>280</v>
      </c>
      <c r="C73" t="s">
        <v>281</v>
      </c>
      <c r="D73" t="s">
        <v>79</v>
      </c>
      <c r="E73" t="s">
        <v>20</v>
      </c>
      <c r="F73" t="s">
        <v>282</v>
      </c>
      <c r="H73" t="s">
        <v>82</v>
      </c>
      <c r="K73" t="s">
        <v>283</v>
      </c>
      <c r="L73" t="s">
        <v>252</v>
      </c>
      <c r="M73" t="s">
        <v>24</v>
      </c>
      <c r="N73" t="s">
        <v>25</v>
      </c>
      <c r="P73" s="11" t="s">
        <v>282</v>
      </c>
      <c r="Q73" s="12" t="s">
        <v>280</v>
      </c>
      <c r="R73" s="12" t="s">
        <v>280</v>
      </c>
      <c r="S73" s="12" t="b">
        <v>1</v>
      </c>
      <c r="T73" s="12" t="b">
        <v>1</v>
      </c>
      <c r="U73" s="12">
        <v>1</v>
      </c>
      <c r="V73" s="12" t="s">
        <v>281</v>
      </c>
      <c r="W73" s="12" t="s">
        <v>541</v>
      </c>
      <c r="X73" s="12" t="b">
        <v>0</v>
      </c>
      <c r="Y73" s="12" t="b">
        <v>1</v>
      </c>
      <c r="Z73" s="12">
        <v>2</v>
      </c>
      <c r="AA73" s="12">
        <v>0.91859999999999997</v>
      </c>
      <c r="AB73" s="12" t="s">
        <v>1316</v>
      </c>
      <c r="AC73" s="12" t="s">
        <v>1236</v>
      </c>
      <c r="AD73" s="13" t="b">
        <v>1</v>
      </c>
    </row>
    <row r="74" spans="1:30">
      <c r="A74" t="s">
        <v>284</v>
      </c>
      <c r="B74" t="s">
        <v>285</v>
      </c>
      <c r="C74" t="s">
        <v>286</v>
      </c>
      <c r="D74" t="s">
        <v>127</v>
      </c>
      <c r="E74" t="s">
        <v>127</v>
      </c>
      <c r="F74" t="s">
        <v>284</v>
      </c>
      <c r="H74" t="s">
        <v>127</v>
      </c>
      <c r="K74">
        <v>1766</v>
      </c>
      <c r="L74" t="s">
        <v>252</v>
      </c>
      <c r="M74" t="s">
        <v>24</v>
      </c>
      <c r="N74" t="s">
        <v>25</v>
      </c>
      <c r="P74" s="11" t="s">
        <v>284</v>
      </c>
      <c r="Q74" s="12" t="s">
        <v>285</v>
      </c>
      <c r="R74" s="12" t="s">
        <v>1034</v>
      </c>
      <c r="S74" s="12" t="b">
        <v>0</v>
      </c>
      <c r="T74" s="12" t="b">
        <v>1</v>
      </c>
      <c r="U74" s="12">
        <v>4</v>
      </c>
      <c r="V74" s="12" t="s">
        <v>286</v>
      </c>
      <c r="W74" s="12" t="s">
        <v>756</v>
      </c>
      <c r="X74" s="12" t="b">
        <v>0</v>
      </c>
      <c r="Y74" s="12" t="b">
        <v>0</v>
      </c>
      <c r="Z74" s="12"/>
      <c r="AA74" s="12">
        <v>0.91569999999999996</v>
      </c>
      <c r="AB74" s="12" t="s">
        <v>1317</v>
      </c>
      <c r="AC74" s="12" t="s">
        <v>1318</v>
      </c>
      <c r="AD74" s="13" t="b">
        <v>1</v>
      </c>
    </row>
    <row r="75" spans="1:30">
      <c r="A75" t="s">
        <v>287</v>
      </c>
      <c r="B75" t="s">
        <v>288</v>
      </c>
      <c r="C75" t="s">
        <v>289</v>
      </c>
      <c r="D75" t="s">
        <v>127</v>
      </c>
      <c r="E75" t="s">
        <v>127</v>
      </c>
      <c r="F75" t="s">
        <v>290</v>
      </c>
      <c r="H75" t="s">
        <v>127</v>
      </c>
      <c r="K75">
        <v>1687</v>
      </c>
      <c r="L75" t="s">
        <v>252</v>
      </c>
      <c r="M75" t="s">
        <v>24</v>
      </c>
      <c r="N75" t="s">
        <v>25</v>
      </c>
      <c r="P75" s="11" t="s">
        <v>290</v>
      </c>
      <c r="Q75" s="12" t="s">
        <v>288</v>
      </c>
      <c r="R75" s="12" t="s">
        <v>288</v>
      </c>
      <c r="S75" s="12" t="b">
        <v>1</v>
      </c>
      <c r="T75" s="12" t="b">
        <v>1</v>
      </c>
      <c r="U75" s="12">
        <v>1</v>
      </c>
      <c r="V75" s="12" t="s">
        <v>289</v>
      </c>
      <c r="W75" s="12" t="s">
        <v>289</v>
      </c>
      <c r="X75" s="12" t="b">
        <v>1</v>
      </c>
      <c r="Y75" s="12" t="b">
        <v>1</v>
      </c>
      <c r="Z75" s="12">
        <v>1</v>
      </c>
      <c r="AA75" s="12">
        <v>0.8175</v>
      </c>
      <c r="AB75" s="12" t="s">
        <v>1319</v>
      </c>
      <c r="AC75" s="12" t="s">
        <v>1238</v>
      </c>
      <c r="AD75" s="13" t="b">
        <v>1</v>
      </c>
    </row>
    <row r="76" spans="1:30">
      <c r="A76" t="s">
        <v>291</v>
      </c>
      <c r="B76" t="s">
        <v>292</v>
      </c>
      <c r="C76" t="s">
        <v>293</v>
      </c>
      <c r="D76" t="s">
        <v>19</v>
      </c>
      <c r="E76" t="s">
        <v>20</v>
      </c>
      <c r="F76" t="s">
        <v>291</v>
      </c>
      <c r="H76" t="s">
        <v>294</v>
      </c>
      <c r="K76" t="s">
        <v>295</v>
      </c>
      <c r="L76" t="s">
        <v>252</v>
      </c>
      <c r="M76" t="s">
        <v>24</v>
      </c>
      <c r="N76" t="s">
        <v>25</v>
      </c>
      <c r="P76" s="11" t="s">
        <v>291</v>
      </c>
      <c r="Q76" s="12" t="s">
        <v>292</v>
      </c>
      <c r="R76" s="12" t="s">
        <v>292</v>
      </c>
      <c r="S76" s="12" t="b">
        <v>1</v>
      </c>
      <c r="T76" s="12" t="b">
        <v>1</v>
      </c>
      <c r="U76" s="12">
        <v>1</v>
      </c>
      <c r="V76" s="12" t="s">
        <v>293</v>
      </c>
      <c r="W76" s="12" t="s">
        <v>293</v>
      </c>
      <c r="X76" s="12" t="b">
        <v>1</v>
      </c>
      <c r="Y76" s="12" t="b">
        <v>1</v>
      </c>
      <c r="Z76" s="12">
        <v>1</v>
      </c>
      <c r="AA76" s="12">
        <v>0.90880000000000005</v>
      </c>
      <c r="AB76" s="12" t="s">
        <v>1320</v>
      </c>
      <c r="AC76" s="12" t="s">
        <v>1240</v>
      </c>
      <c r="AD76" s="13" t="b">
        <v>1</v>
      </c>
    </row>
    <row r="77" spans="1:30">
      <c r="A77" t="s">
        <v>296</v>
      </c>
      <c r="B77" t="s">
        <v>297</v>
      </c>
      <c r="C77" t="s">
        <v>298</v>
      </c>
      <c r="D77" t="s">
        <v>19</v>
      </c>
      <c r="E77" t="s">
        <v>20</v>
      </c>
      <c r="F77" t="s">
        <v>299</v>
      </c>
      <c r="H77" t="s">
        <v>300</v>
      </c>
      <c r="K77" t="s">
        <v>301</v>
      </c>
      <c r="L77" t="s">
        <v>252</v>
      </c>
      <c r="M77" t="s">
        <v>24</v>
      </c>
      <c r="N77" t="s">
        <v>25</v>
      </c>
      <c r="P77" s="11" t="s">
        <v>299</v>
      </c>
      <c r="Q77" s="12" t="s">
        <v>297</v>
      </c>
      <c r="R77" s="12" t="s">
        <v>297</v>
      </c>
      <c r="S77" s="12" t="b">
        <v>1</v>
      </c>
      <c r="T77" s="12" t="b">
        <v>1</v>
      </c>
      <c r="U77" s="12">
        <v>1</v>
      </c>
      <c r="V77" s="12" t="s">
        <v>298</v>
      </c>
      <c r="W77" s="12" t="s">
        <v>298</v>
      </c>
      <c r="X77" s="12" t="b">
        <v>1</v>
      </c>
      <c r="Y77" s="12" t="b">
        <v>1</v>
      </c>
      <c r="Z77" s="12">
        <v>1</v>
      </c>
      <c r="AA77" s="12">
        <v>0.87060000000000004</v>
      </c>
      <c r="AB77" s="12" t="s">
        <v>1022</v>
      </c>
      <c r="AC77" s="12" t="s">
        <v>1242</v>
      </c>
      <c r="AD77" s="13" t="b">
        <v>1</v>
      </c>
    </row>
    <row r="78" spans="1:30">
      <c r="A78" t="s">
        <v>302</v>
      </c>
      <c r="B78" t="s">
        <v>100</v>
      </c>
      <c r="C78" t="s">
        <v>303</v>
      </c>
      <c r="D78" t="s">
        <v>79</v>
      </c>
      <c r="E78" t="s">
        <v>79</v>
      </c>
      <c r="F78" t="s">
        <v>304</v>
      </c>
      <c r="H78" t="s">
        <v>82</v>
      </c>
      <c r="K78" t="s">
        <v>305</v>
      </c>
      <c r="L78" t="s">
        <v>252</v>
      </c>
      <c r="M78" t="s">
        <v>24</v>
      </c>
      <c r="N78" t="s">
        <v>31</v>
      </c>
      <c r="P78" s="11" t="s">
        <v>304</v>
      </c>
      <c r="Q78" s="12" t="s">
        <v>100</v>
      </c>
      <c r="R78" s="12" t="s">
        <v>100</v>
      </c>
      <c r="S78" s="12" t="b">
        <v>1</v>
      </c>
      <c r="T78" s="12" t="b">
        <v>1</v>
      </c>
      <c r="U78" s="12">
        <v>1</v>
      </c>
      <c r="V78" s="12" t="s">
        <v>303</v>
      </c>
      <c r="W78" s="12" t="s">
        <v>670</v>
      </c>
      <c r="X78" s="12" t="b">
        <v>0</v>
      </c>
      <c r="Y78" s="12" t="b">
        <v>0</v>
      </c>
      <c r="Z78" s="12">
        <v>7</v>
      </c>
      <c r="AA78" s="12">
        <v>1</v>
      </c>
      <c r="AB78" s="12" t="s">
        <v>1321</v>
      </c>
      <c r="AC78" s="12" t="s">
        <v>1244</v>
      </c>
      <c r="AD78" s="13" t="b">
        <v>1</v>
      </c>
    </row>
    <row r="79" spans="1:30">
      <c r="A79" t="s">
        <v>306</v>
      </c>
      <c r="B79" t="s">
        <v>307</v>
      </c>
      <c r="C79" t="s">
        <v>308</v>
      </c>
      <c r="D79" t="s">
        <v>19</v>
      </c>
      <c r="E79" t="s">
        <v>20</v>
      </c>
      <c r="F79" t="s">
        <v>309</v>
      </c>
      <c r="H79" t="s">
        <v>310</v>
      </c>
      <c r="K79" t="s">
        <v>311</v>
      </c>
      <c r="L79" t="s">
        <v>252</v>
      </c>
      <c r="M79" t="s">
        <v>24</v>
      </c>
      <c r="N79" t="s">
        <v>25</v>
      </c>
      <c r="P79" s="11" t="s">
        <v>309</v>
      </c>
      <c r="Q79" s="12" t="s">
        <v>307</v>
      </c>
      <c r="R79" s="12" t="s">
        <v>307</v>
      </c>
      <c r="S79" s="12" t="b">
        <v>1</v>
      </c>
      <c r="T79" s="12" t="b">
        <v>1</v>
      </c>
      <c r="U79" s="12">
        <v>1</v>
      </c>
      <c r="V79" s="12" t="s">
        <v>308</v>
      </c>
      <c r="W79" s="12" t="s">
        <v>308</v>
      </c>
      <c r="X79" s="12" t="b">
        <v>1</v>
      </c>
      <c r="Y79" s="12" t="b">
        <v>1</v>
      </c>
      <c r="Z79" s="12">
        <v>1</v>
      </c>
      <c r="AA79" s="12">
        <v>0.91790000000000005</v>
      </c>
      <c r="AB79" s="12" t="s">
        <v>307</v>
      </c>
      <c r="AC79" s="12" t="s">
        <v>1246</v>
      </c>
      <c r="AD79" s="13" t="b">
        <v>1</v>
      </c>
    </row>
    <row r="80" spans="1:30">
      <c r="A80" t="s">
        <v>184</v>
      </c>
      <c r="B80" t="s">
        <v>185</v>
      </c>
      <c r="C80" t="s">
        <v>186</v>
      </c>
      <c r="D80" t="s">
        <v>19</v>
      </c>
      <c r="E80" t="s">
        <v>20</v>
      </c>
      <c r="F80" t="s">
        <v>185</v>
      </c>
      <c r="L80" t="s">
        <v>312</v>
      </c>
      <c r="M80" t="s">
        <v>24</v>
      </c>
      <c r="N80" t="s">
        <v>25</v>
      </c>
      <c r="P80" s="11" t="s">
        <v>185</v>
      </c>
      <c r="Q80" s="12" t="s">
        <v>185</v>
      </c>
      <c r="R80" s="12" t="s">
        <v>185</v>
      </c>
      <c r="S80" s="12" t="b">
        <v>1</v>
      </c>
      <c r="T80" s="12" t="b">
        <v>1</v>
      </c>
      <c r="U80" s="12">
        <v>1</v>
      </c>
      <c r="V80" s="12" t="s">
        <v>186</v>
      </c>
      <c r="W80" s="12" t="s">
        <v>186</v>
      </c>
      <c r="X80" s="12" t="b">
        <v>1</v>
      </c>
      <c r="Y80" s="12" t="b">
        <v>1</v>
      </c>
      <c r="Z80" s="12">
        <v>1</v>
      </c>
      <c r="AA80" s="12">
        <v>0.98780000000000001</v>
      </c>
      <c r="AB80" s="12" t="s">
        <v>1023</v>
      </c>
      <c r="AC80" s="12" t="s">
        <v>1247</v>
      </c>
      <c r="AD80" s="13" t="b">
        <v>1</v>
      </c>
    </row>
    <row r="81" spans="1:30">
      <c r="A81" t="s">
        <v>313</v>
      </c>
      <c r="B81" t="s">
        <v>221</v>
      </c>
      <c r="C81" t="s">
        <v>314</v>
      </c>
      <c r="D81" t="s">
        <v>127</v>
      </c>
      <c r="E81" t="s">
        <v>127</v>
      </c>
      <c r="F81" t="s">
        <v>221</v>
      </c>
      <c r="L81" t="s">
        <v>312</v>
      </c>
      <c r="M81" t="s">
        <v>24</v>
      </c>
      <c r="N81" t="s">
        <v>25</v>
      </c>
      <c r="P81" s="11" t="s">
        <v>221</v>
      </c>
      <c r="Q81" s="12" t="s">
        <v>221</v>
      </c>
      <c r="R81" s="12" t="s">
        <v>221</v>
      </c>
      <c r="S81" s="12" t="b">
        <v>1</v>
      </c>
      <c r="T81" s="12" t="b">
        <v>1</v>
      </c>
      <c r="U81" s="12">
        <v>1</v>
      </c>
      <c r="V81" s="12" t="s">
        <v>314</v>
      </c>
      <c r="W81" s="12" t="s">
        <v>560</v>
      </c>
      <c r="X81" s="12" t="b">
        <v>0</v>
      </c>
      <c r="Y81" s="12" t="b">
        <v>1</v>
      </c>
      <c r="Z81" s="12">
        <v>4</v>
      </c>
      <c r="AA81" s="12">
        <v>1</v>
      </c>
      <c r="AB81" s="12" t="s">
        <v>221</v>
      </c>
      <c r="AC81" s="12" t="s">
        <v>1248</v>
      </c>
      <c r="AD81" s="13" t="b">
        <v>1</v>
      </c>
    </row>
    <row r="82" spans="1:30">
      <c r="A82" t="s">
        <v>315</v>
      </c>
      <c r="B82" t="s">
        <v>316</v>
      </c>
      <c r="C82" t="s">
        <v>317</v>
      </c>
      <c r="D82" t="s">
        <v>44</v>
      </c>
      <c r="E82" t="s">
        <v>20</v>
      </c>
      <c r="F82" t="s">
        <v>316</v>
      </c>
      <c r="L82" t="s">
        <v>312</v>
      </c>
      <c r="M82" t="s">
        <v>24</v>
      </c>
      <c r="N82" t="s">
        <v>25</v>
      </c>
      <c r="P82" s="11" t="s">
        <v>316</v>
      </c>
      <c r="Q82" s="12" t="s">
        <v>316</v>
      </c>
      <c r="R82" s="12" t="s">
        <v>316</v>
      </c>
      <c r="S82" s="12" t="b">
        <v>1</v>
      </c>
      <c r="T82" s="12" t="b">
        <v>1</v>
      </c>
      <c r="U82" s="12">
        <v>1</v>
      </c>
      <c r="V82" s="12" t="s">
        <v>317</v>
      </c>
      <c r="W82" s="12" t="s">
        <v>562</v>
      </c>
      <c r="X82" s="12" t="b">
        <v>0</v>
      </c>
      <c r="Y82" s="12" t="b">
        <v>1</v>
      </c>
      <c r="Z82" s="12">
        <v>4</v>
      </c>
      <c r="AA82" s="12">
        <v>1</v>
      </c>
      <c r="AB82" s="12" t="s">
        <v>1322</v>
      </c>
      <c r="AC82" s="12" t="s">
        <v>1249</v>
      </c>
      <c r="AD82" s="13" t="b">
        <v>1</v>
      </c>
    </row>
    <row r="83" spans="1:30">
      <c r="A83" t="s">
        <v>318</v>
      </c>
      <c r="B83" t="s">
        <v>316</v>
      </c>
      <c r="C83" t="s">
        <v>319</v>
      </c>
      <c r="D83" t="s">
        <v>127</v>
      </c>
      <c r="E83" t="s">
        <v>127</v>
      </c>
      <c r="F83" t="s">
        <v>316</v>
      </c>
      <c r="L83" t="s">
        <v>312</v>
      </c>
      <c r="M83" t="s">
        <v>24</v>
      </c>
      <c r="N83" t="s">
        <v>25</v>
      </c>
      <c r="P83" s="11" t="s">
        <v>316</v>
      </c>
      <c r="Q83" s="12" t="s">
        <v>316</v>
      </c>
      <c r="R83" s="12" t="s">
        <v>316</v>
      </c>
      <c r="S83" s="12" t="b">
        <v>1</v>
      </c>
      <c r="T83" s="12" t="b">
        <v>1</v>
      </c>
      <c r="U83" s="12">
        <v>1</v>
      </c>
      <c r="V83" s="12" t="s">
        <v>319</v>
      </c>
      <c r="W83" s="12" t="s">
        <v>562</v>
      </c>
      <c r="X83" s="12" t="b">
        <v>0</v>
      </c>
      <c r="Y83" s="12" t="b">
        <v>1</v>
      </c>
      <c r="Z83" s="12">
        <v>5</v>
      </c>
      <c r="AA83" s="12">
        <v>1</v>
      </c>
      <c r="AB83" s="12" t="s">
        <v>1322</v>
      </c>
      <c r="AC83" s="12" t="s">
        <v>1249</v>
      </c>
      <c r="AD83" s="13" t="b">
        <v>1</v>
      </c>
    </row>
    <row r="84" spans="1:30">
      <c r="A84" t="s">
        <v>320</v>
      </c>
      <c r="B84" t="s">
        <v>321</v>
      </c>
      <c r="C84" t="s">
        <v>322</v>
      </c>
      <c r="D84" t="s">
        <v>127</v>
      </c>
      <c r="E84" t="s">
        <v>127</v>
      </c>
      <c r="F84" t="s">
        <v>321</v>
      </c>
      <c r="L84" t="s">
        <v>312</v>
      </c>
      <c r="M84" t="s">
        <v>24</v>
      </c>
      <c r="N84" t="s">
        <v>25</v>
      </c>
      <c r="P84" s="11" t="s">
        <v>321</v>
      </c>
      <c r="Q84" s="12" t="s">
        <v>321</v>
      </c>
      <c r="R84" s="12" t="s">
        <v>321</v>
      </c>
      <c r="S84" s="12" t="b">
        <v>1</v>
      </c>
      <c r="T84" s="12" t="b">
        <v>1</v>
      </c>
      <c r="U84" s="12">
        <v>1</v>
      </c>
      <c r="V84" s="12" t="s">
        <v>322</v>
      </c>
      <c r="W84" s="12" t="s">
        <v>322</v>
      </c>
      <c r="X84" s="12" t="b">
        <v>1</v>
      </c>
      <c r="Y84" s="12" t="b">
        <v>1</v>
      </c>
      <c r="Z84" s="12">
        <v>1</v>
      </c>
      <c r="AA84" s="12">
        <v>1</v>
      </c>
      <c r="AB84" s="12" t="s">
        <v>1323</v>
      </c>
      <c r="AC84" s="12" t="s">
        <v>1250</v>
      </c>
      <c r="AD84" s="13" t="b">
        <v>1</v>
      </c>
    </row>
    <row r="85" spans="1:30">
      <c r="A85" t="s">
        <v>324</v>
      </c>
      <c r="B85" t="s">
        <v>148</v>
      </c>
      <c r="C85" t="s">
        <v>325</v>
      </c>
      <c r="D85" t="s">
        <v>79</v>
      </c>
      <c r="E85" t="s">
        <v>20</v>
      </c>
      <c r="F85" t="s">
        <v>148</v>
      </c>
      <c r="L85" t="s">
        <v>312</v>
      </c>
      <c r="M85" t="s">
        <v>24</v>
      </c>
      <c r="N85" t="s">
        <v>25</v>
      </c>
      <c r="P85" s="11" t="s">
        <v>148</v>
      </c>
      <c r="Q85" s="12" t="s">
        <v>148</v>
      </c>
      <c r="R85" s="12" t="s">
        <v>148</v>
      </c>
      <c r="S85" s="12" t="b">
        <v>1</v>
      </c>
      <c r="T85" s="12" t="b">
        <v>1</v>
      </c>
      <c r="U85" s="12">
        <v>1</v>
      </c>
      <c r="V85" s="12" t="s">
        <v>325</v>
      </c>
      <c r="W85" s="12" t="s">
        <v>149</v>
      </c>
      <c r="X85" s="12" t="b">
        <v>0</v>
      </c>
      <c r="Y85" s="12" t="b">
        <v>1</v>
      </c>
      <c r="Z85" s="12">
        <v>4</v>
      </c>
      <c r="AA85" s="12">
        <v>0.89759999999999995</v>
      </c>
      <c r="AB85" s="12" t="s">
        <v>1026</v>
      </c>
      <c r="AC85" s="12" t="s">
        <v>1180</v>
      </c>
      <c r="AD85" s="13" t="b">
        <v>1</v>
      </c>
    </row>
    <row r="86" spans="1:30">
      <c r="A86" t="s">
        <v>326</v>
      </c>
      <c r="B86" t="s">
        <v>100</v>
      </c>
      <c r="C86" t="s">
        <v>101</v>
      </c>
      <c r="D86" t="s">
        <v>44</v>
      </c>
      <c r="E86" t="s">
        <v>20</v>
      </c>
      <c r="F86" t="s">
        <v>100</v>
      </c>
      <c r="L86" t="s">
        <v>312</v>
      </c>
      <c r="M86" t="s">
        <v>24</v>
      </c>
      <c r="N86" t="s">
        <v>25</v>
      </c>
      <c r="P86" s="11" t="s">
        <v>100</v>
      </c>
      <c r="Q86" s="12" t="s">
        <v>100</v>
      </c>
      <c r="R86" s="12" t="s">
        <v>100</v>
      </c>
      <c r="S86" s="12" t="b">
        <v>1</v>
      </c>
      <c r="T86" s="12" t="b">
        <v>1</v>
      </c>
      <c r="U86" s="12">
        <v>1</v>
      </c>
      <c r="V86" s="12" t="s">
        <v>101</v>
      </c>
      <c r="W86" s="12" t="s">
        <v>554</v>
      </c>
      <c r="X86" s="12" t="b">
        <v>0</v>
      </c>
      <c r="Y86" s="12" t="b">
        <v>1</v>
      </c>
      <c r="Z86" s="12">
        <v>4</v>
      </c>
      <c r="AA86" s="12">
        <v>1</v>
      </c>
      <c r="AB86" s="12" t="s">
        <v>1324</v>
      </c>
      <c r="AC86" s="12" t="s">
        <v>1251</v>
      </c>
      <c r="AD86" s="13" t="b">
        <v>1</v>
      </c>
    </row>
    <row r="87" spans="1:30">
      <c r="A87" t="s">
        <v>199</v>
      </c>
      <c r="B87" t="s">
        <v>200</v>
      </c>
      <c r="C87" t="s">
        <v>201</v>
      </c>
      <c r="D87" t="s">
        <v>19</v>
      </c>
      <c r="E87" t="s">
        <v>20</v>
      </c>
      <c r="F87" t="s">
        <v>200</v>
      </c>
      <c r="L87" t="s">
        <v>312</v>
      </c>
      <c r="M87" t="s">
        <v>24</v>
      </c>
      <c r="N87" t="s">
        <v>25</v>
      </c>
      <c r="P87" s="11" t="s">
        <v>200</v>
      </c>
      <c r="Q87" s="12" t="s">
        <v>200</v>
      </c>
      <c r="R87" s="12" t="s">
        <v>200</v>
      </c>
      <c r="S87" s="12" t="b">
        <v>1</v>
      </c>
      <c r="T87" s="12" t="b">
        <v>1</v>
      </c>
      <c r="U87" s="12">
        <v>1</v>
      </c>
      <c r="V87" s="12" t="s">
        <v>201</v>
      </c>
      <c r="W87" s="12" t="s">
        <v>201</v>
      </c>
      <c r="X87" s="12" t="b">
        <v>1</v>
      </c>
      <c r="Y87" s="12" t="b">
        <v>1</v>
      </c>
      <c r="Z87" s="12">
        <v>1</v>
      </c>
      <c r="AA87" s="12">
        <v>0.95199999999999996</v>
      </c>
      <c r="AB87" s="12" t="s">
        <v>200</v>
      </c>
      <c r="AC87" s="12" t="s">
        <v>1203</v>
      </c>
      <c r="AD87" s="13" t="b">
        <v>1</v>
      </c>
    </row>
    <row r="88" spans="1:30">
      <c r="A88" t="s">
        <v>327</v>
      </c>
      <c r="B88" t="s">
        <v>328</v>
      </c>
      <c r="C88" t="s">
        <v>329</v>
      </c>
      <c r="D88" t="s">
        <v>127</v>
      </c>
      <c r="E88" t="s">
        <v>127</v>
      </c>
      <c r="F88" t="s">
        <v>328</v>
      </c>
      <c r="L88" t="s">
        <v>312</v>
      </c>
      <c r="M88" t="s">
        <v>24</v>
      </c>
      <c r="N88" t="s">
        <v>25</v>
      </c>
      <c r="P88" s="11" t="s">
        <v>328</v>
      </c>
      <c r="Q88" s="12" t="s">
        <v>328</v>
      </c>
      <c r="R88" s="12" t="s">
        <v>328</v>
      </c>
      <c r="S88" s="12" t="b">
        <v>1</v>
      </c>
      <c r="T88" s="12" t="b">
        <v>1</v>
      </c>
      <c r="U88" s="12">
        <v>1</v>
      </c>
      <c r="V88" s="12" t="s">
        <v>329</v>
      </c>
      <c r="W88" s="12" t="s">
        <v>329</v>
      </c>
      <c r="X88" s="12" t="b">
        <v>1</v>
      </c>
      <c r="Y88" s="12" t="b">
        <v>1</v>
      </c>
      <c r="Z88" s="12">
        <v>1</v>
      </c>
      <c r="AA88" s="12">
        <v>1</v>
      </c>
      <c r="AB88" s="12" t="s">
        <v>328</v>
      </c>
      <c r="AC88" s="12" t="s">
        <v>1252</v>
      </c>
      <c r="AD88" s="13" t="b">
        <v>1</v>
      </c>
    </row>
    <row r="89" spans="1:30">
      <c r="A89" t="s">
        <v>330</v>
      </c>
      <c r="B89" t="s">
        <v>331</v>
      </c>
      <c r="C89" t="s">
        <v>332</v>
      </c>
      <c r="D89" t="s">
        <v>79</v>
      </c>
      <c r="E89" t="s">
        <v>20</v>
      </c>
      <c r="G89" t="s">
        <v>330</v>
      </c>
      <c r="L89" t="s">
        <v>334</v>
      </c>
      <c r="M89" t="s">
        <v>24</v>
      </c>
      <c r="N89" t="s">
        <v>31</v>
      </c>
      <c r="P89" s="11" t="s">
        <v>330</v>
      </c>
      <c r="Q89" s="12" t="s">
        <v>331</v>
      </c>
      <c r="R89" s="12" t="s">
        <v>331</v>
      </c>
      <c r="S89" s="12" t="b">
        <v>1</v>
      </c>
      <c r="T89" s="12" t="b">
        <v>1</v>
      </c>
      <c r="U89" s="12">
        <v>1</v>
      </c>
      <c r="V89" s="12" t="s">
        <v>332</v>
      </c>
      <c r="W89" s="12" t="s">
        <v>332</v>
      </c>
      <c r="X89" s="12" t="b">
        <v>1</v>
      </c>
      <c r="Y89" s="12" t="b">
        <v>1</v>
      </c>
      <c r="Z89" s="12">
        <v>1</v>
      </c>
      <c r="AA89" s="12">
        <v>0.74139999999999995</v>
      </c>
      <c r="AB89" s="12" t="s">
        <v>1325</v>
      </c>
      <c r="AC89" s="12" t="s">
        <v>1253</v>
      </c>
      <c r="AD89" s="13" t="b">
        <v>1</v>
      </c>
    </row>
    <row r="90" spans="1:30">
      <c r="A90" t="s">
        <v>335</v>
      </c>
      <c r="B90" t="s">
        <v>335</v>
      </c>
      <c r="C90" t="s">
        <v>336</v>
      </c>
      <c r="D90" t="s">
        <v>79</v>
      </c>
      <c r="E90" t="s">
        <v>20</v>
      </c>
      <c r="G90" t="s">
        <v>338</v>
      </c>
      <c r="L90" t="s">
        <v>334</v>
      </c>
      <c r="M90" t="s">
        <v>24</v>
      </c>
      <c r="N90" t="s">
        <v>31</v>
      </c>
      <c r="P90" s="11" t="s">
        <v>338</v>
      </c>
      <c r="Q90" s="12" t="s">
        <v>335</v>
      </c>
      <c r="R90" s="12" t="s">
        <v>335</v>
      </c>
      <c r="S90" s="12" t="b">
        <v>1</v>
      </c>
      <c r="T90" s="12" t="b">
        <v>1</v>
      </c>
      <c r="U90" s="12">
        <v>1</v>
      </c>
      <c r="V90" s="12" t="s">
        <v>336</v>
      </c>
      <c r="W90" s="12" t="s">
        <v>336</v>
      </c>
      <c r="X90" s="12" t="b">
        <v>1</v>
      </c>
      <c r="Y90" s="12" t="b">
        <v>1</v>
      </c>
      <c r="Z90" s="12">
        <v>1</v>
      </c>
      <c r="AA90" s="12">
        <v>1.1128</v>
      </c>
      <c r="AB90" s="12" t="s">
        <v>1326</v>
      </c>
      <c r="AC90" s="12" t="s">
        <v>1255</v>
      </c>
      <c r="AD90" s="13" t="b">
        <v>1</v>
      </c>
    </row>
    <row r="91" spans="1:30">
      <c r="A91" t="s">
        <v>339</v>
      </c>
      <c r="B91" t="s">
        <v>340</v>
      </c>
      <c r="C91" t="s">
        <v>341</v>
      </c>
      <c r="D91" t="s">
        <v>127</v>
      </c>
      <c r="E91" t="s">
        <v>127</v>
      </c>
      <c r="G91" t="s">
        <v>342</v>
      </c>
      <c r="L91" t="s">
        <v>334</v>
      </c>
      <c r="M91" t="s">
        <v>24</v>
      </c>
      <c r="N91" t="s">
        <v>31</v>
      </c>
      <c r="P91" s="11" t="s">
        <v>342</v>
      </c>
      <c r="Q91" s="12" t="s">
        <v>340</v>
      </c>
      <c r="R91" s="12" t="s">
        <v>340</v>
      </c>
      <c r="S91" s="12" t="b">
        <v>1</v>
      </c>
      <c r="T91" s="12" t="b">
        <v>1</v>
      </c>
      <c r="U91" s="12">
        <v>1</v>
      </c>
      <c r="V91" s="12" t="s">
        <v>341</v>
      </c>
      <c r="W91" s="12" t="s">
        <v>341</v>
      </c>
      <c r="X91" s="12" t="b">
        <v>1</v>
      </c>
      <c r="Y91" s="12" t="b">
        <v>1</v>
      </c>
      <c r="Z91" s="12">
        <v>1</v>
      </c>
      <c r="AA91" s="12">
        <v>1.2</v>
      </c>
      <c r="AB91" s="12" t="s">
        <v>340</v>
      </c>
      <c r="AC91" s="12" t="s">
        <v>341</v>
      </c>
      <c r="AD91" s="13" t="b">
        <v>1</v>
      </c>
    </row>
    <row r="92" spans="1:30">
      <c r="A92" t="s">
        <v>343</v>
      </c>
      <c r="B92" t="s">
        <v>344</v>
      </c>
      <c r="C92" t="s">
        <v>345</v>
      </c>
      <c r="D92" t="s">
        <v>19</v>
      </c>
      <c r="E92" t="s">
        <v>20</v>
      </c>
      <c r="G92" t="s">
        <v>347</v>
      </c>
      <c r="L92" t="s">
        <v>334</v>
      </c>
      <c r="M92" t="s">
        <v>24</v>
      </c>
      <c r="N92" t="s">
        <v>25</v>
      </c>
      <c r="P92" s="11" t="s">
        <v>347</v>
      </c>
      <c r="Q92" s="12" t="s">
        <v>344</v>
      </c>
      <c r="R92" s="12" t="s">
        <v>344</v>
      </c>
      <c r="S92" s="12" t="b">
        <v>1</v>
      </c>
      <c r="T92" s="12" t="b">
        <v>1</v>
      </c>
      <c r="U92" s="12">
        <v>1</v>
      </c>
      <c r="V92" s="12" t="s">
        <v>345</v>
      </c>
      <c r="W92" s="12" t="s">
        <v>574</v>
      </c>
      <c r="X92" s="12" t="b">
        <v>0</v>
      </c>
      <c r="Y92" s="12" t="b">
        <v>1</v>
      </c>
      <c r="Z92" s="12">
        <v>2</v>
      </c>
      <c r="AA92" s="12">
        <v>1.0226</v>
      </c>
      <c r="AB92" s="12" t="s">
        <v>1327</v>
      </c>
      <c r="AC92" s="12" t="s">
        <v>1256</v>
      </c>
      <c r="AD92" s="13" t="b">
        <v>1</v>
      </c>
    </row>
    <row r="93" spans="1:30">
      <c r="A93" t="s">
        <v>348</v>
      </c>
      <c r="B93" t="s">
        <v>349</v>
      </c>
      <c r="C93" t="s">
        <v>350</v>
      </c>
      <c r="D93" t="s">
        <v>127</v>
      </c>
      <c r="E93" t="s">
        <v>127</v>
      </c>
      <c r="G93" t="s">
        <v>352</v>
      </c>
      <c r="L93" t="s">
        <v>334</v>
      </c>
      <c r="M93" t="s">
        <v>24</v>
      </c>
      <c r="N93" t="s">
        <v>25</v>
      </c>
      <c r="P93" s="11" t="s">
        <v>352</v>
      </c>
      <c r="Q93" s="12" t="s">
        <v>349</v>
      </c>
      <c r="R93" s="12" t="s">
        <v>349</v>
      </c>
      <c r="S93" s="12" t="b">
        <v>1</v>
      </c>
      <c r="T93" s="12" t="b">
        <v>1</v>
      </c>
      <c r="U93" s="12">
        <v>1</v>
      </c>
      <c r="V93" s="12" t="s">
        <v>350</v>
      </c>
      <c r="W93" s="12" t="s">
        <v>350</v>
      </c>
      <c r="X93" s="12" t="b">
        <v>1</v>
      </c>
      <c r="Y93" s="12" t="b">
        <v>1</v>
      </c>
      <c r="Z93" s="12">
        <v>1</v>
      </c>
      <c r="AA93" s="12">
        <v>1.1599999999999999</v>
      </c>
      <c r="AB93" s="12" t="s">
        <v>1031</v>
      </c>
      <c r="AC93" s="12" t="s">
        <v>1257</v>
      </c>
      <c r="AD93" s="13" t="b">
        <v>1</v>
      </c>
    </row>
    <row r="94" spans="1:30">
      <c r="A94" t="s">
        <v>353</v>
      </c>
      <c r="B94" t="s">
        <v>241</v>
      </c>
      <c r="C94" t="s">
        <v>242</v>
      </c>
      <c r="D94" t="s">
        <v>19</v>
      </c>
      <c r="E94" t="s">
        <v>20</v>
      </c>
      <c r="G94" t="s">
        <v>355</v>
      </c>
      <c r="L94" t="s">
        <v>334</v>
      </c>
      <c r="M94" t="s">
        <v>24</v>
      </c>
      <c r="N94" t="s">
        <v>31</v>
      </c>
      <c r="P94" s="11" t="s">
        <v>355</v>
      </c>
      <c r="Q94" s="12" t="s">
        <v>241</v>
      </c>
      <c r="R94" s="12" t="s">
        <v>241</v>
      </c>
      <c r="S94" s="12" t="b">
        <v>1</v>
      </c>
      <c r="T94" s="12" t="b">
        <v>1</v>
      </c>
      <c r="U94" s="12">
        <v>1</v>
      </c>
      <c r="V94" s="12" t="s">
        <v>242</v>
      </c>
      <c r="W94" s="12" t="s">
        <v>1258</v>
      </c>
      <c r="X94" s="12" t="b">
        <v>0</v>
      </c>
      <c r="Y94" s="12" t="b">
        <v>1</v>
      </c>
      <c r="Z94" s="12">
        <v>3</v>
      </c>
      <c r="AA94" s="12">
        <v>0.94679999999999997</v>
      </c>
      <c r="AB94" s="12" t="s">
        <v>1328</v>
      </c>
      <c r="AC94" s="12" t="s">
        <v>1259</v>
      </c>
      <c r="AD94" s="13" t="b">
        <v>1</v>
      </c>
    </row>
    <row r="95" spans="1:30">
      <c r="A95" s="2" t="s">
        <v>356</v>
      </c>
      <c r="B95" s="2" t="s">
        <v>266</v>
      </c>
      <c r="C95" s="2" t="s">
        <v>357</v>
      </c>
      <c r="D95" s="2" t="s">
        <v>79</v>
      </c>
      <c r="E95" s="2" t="s">
        <v>20</v>
      </c>
      <c r="F95" s="2"/>
      <c r="G95" s="2" t="s">
        <v>358</v>
      </c>
      <c r="H95" s="2"/>
      <c r="I95" s="2"/>
      <c r="J95" s="2"/>
      <c r="K95" s="2"/>
      <c r="L95" s="2" t="s">
        <v>334</v>
      </c>
      <c r="M95" s="2" t="s">
        <v>24</v>
      </c>
      <c r="N95" s="2" t="s">
        <v>49</v>
      </c>
      <c r="O95" s="2"/>
      <c r="P95" s="37" t="s">
        <v>358</v>
      </c>
      <c r="Q95" s="38" t="s">
        <v>266</v>
      </c>
      <c r="R95" s="38" t="s">
        <v>328</v>
      </c>
      <c r="S95" s="38" t="b">
        <v>0</v>
      </c>
      <c r="T95" s="38" t="b">
        <v>1</v>
      </c>
      <c r="U95" s="38">
        <v>2</v>
      </c>
      <c r="V95" s="38" t="s">
        <v>357</v>
      </c>
      <c r="W95" s="38" t="s">
        <v>1329</v>
      </c>
      <c r="X95" s="38" t="b">
        <v>0</v>
      </c>
      <c r="Y95" s="38" t="b">
        <v>0</v>
      </c>
      <c r="Z95" s="38"/>
      <c r="AA95" s="38">
        <v>0.66930000000000001</v>
      </c>
      <c r="AB95" s="38" t="s">
        <v>1330</v>
      </c>
      <c r="AC95" s="38" t="s">
        <v>1331</v>
      </c>
      <c r="AD95" s="39" t="b">
        <v>1</v>
      </c>
    </row>
    <row r="96" spans="1:30">
      <c r="A96" t="s">
        <v>359</v>
      </c>
      <c r="B96" t="s">
        <v>360</v>
      </c>
      <c r="C96" t="s">
        <v>361</v>
      </c>
      <c r="D96" t="s">
        <v>127</v>
      </c>
      <c r="E96" t="s">
        <v>127</v>
      </c>
      <c r="G96" t="s">
        <v>363</v>
      </c>
      <c r="L96" t="s">
        <v>334</v>
      </c>
      <c r="M96" t="s">
        <v>24</v>
      </c>
      <c r="N96" t="s">
        <v>25</v>
      </c>
      <c r="P96" s="11" t="s">
        <v>363</v>
      </c>
      <c r="Q96" s="12" t="s">
        <v>360</v>
      </c>
      <c r="R96" s="12" t="s">
        <v>1034</v>
      </c>
      <c r="S96" s="12" t="b">
        <v>0</v>
      </c>
      <c r="T96" s="12" t="b">
        <v>1</v>
      </c>
      <c r="U96" s="12">
        <v>4</v>
      </c>
      <c r="V96" s="12" t="s">
        <v>361</v>
      </c>
      <c r="W96" s="12" t="s">
        <v>756</v>
      </c>
      <c r="X96" s="12" t="b">
        <v>0</v>
      </c>
      <c r="Y96" s="12" t="b">
        <v>0</v>
      </c>
      <c r="Z96" s="12"/>
      <c r="AA96" s="12">
        <v>0.98180000000000001</v>
      </c>
      <c r="AB96" s="12" t="s">
        <v>1332</v>
      </c>
      <c r="AC96" s="12" t="s">
        <v>1318</v>
      </c>
      <c r="AD96" s="13" t="b">
        <v>1</v>
      </c>
    </row>
    <row r="97" spans="1:30">
      <c r="A97" t="s">
        <v>364</v>
      </c>
      <c r="B97" t="s">
        <v>365</v>
      </c>
      <c r="C97" t="s">
        <v>366</v>
      </c>
      <c r="D97" t="s">
        <v>19</v>
      </c>
      <c r="E97" t="s">
        <v>20</v>
      </c>
      <c r="G97" t="s">
        <v>368</v>
      </c>
      <c r="L97" t="s">
        <v>334</v>
      </c>
      <c r="M97" t="s">
        <v>24</v>
      </c>
      <c r="N97" t="s">
        <v>25</v>
      </c>
      <c r="P97" s="11" t="s">
        <v>368</v>
      </c>
      <c r="Q97" s="12" t="s">
        <v>365</v>
      </c>
      <c r="R97" s="12" t="s">
        <v>200</v>
      </c>
      <c r="S97" s="12" t="b">
        <v>0</v>
      </c>
      <c r="T97" s="12" t="b">
        <v>1</v>
      </c>
      <c r="U97" s="12">
        <v>4</v>
      </c>
      <c r="V97" s="12" t="s">
        <v>366</v>
      </c>
      <c r="W97" s="12" t="s">
        <v>678</v>
      </c>
      <c r="X97" s="12" t="b">
        <v>0</v>
      </c>
      <c r="Y97" s="12" t="b">
        <v>0</v>
      </c>
      <c r="Z97" s="12"/>
      <c r="AA97" s="12">
        <v>0.80730000000000002</v>
      </c>
      <c r="AB97" s="12" t="s">
        <v>1333</v>
      </c>
      <c r="AC97" s="12" t="s">
        <v>1334</v>
      </c>
      <c r="AD97" s="13" t="b">
        <v>1</v>
      </c>
    </row>
    <row r="98" spans="1:30">
      <c r="A98" t="s">
        <v>37</v>
      </c>
      <c r="B98" t="s">
        <v>38</v>
      </c>
      <c r="C98" t="s">
        <v>369</v>
      </c>
      <c r="D98" t="s">
        <v>127</v>
      </c>
      <c r="E98" t="s">
        <v>127</v>
      </c>
      <c r="G98" t="s">
        <v>371</v>
      </c>
      <c r="L98" t="s">
        <v>372</v>
      </c>
      <c r="M98" t="s">
        <v>24</v>
      </c>
      <c r="N98" t="s">
        <v>31</v>
      </c>
      <c r="O98">
        <v>483</v>
      </c>
      <c r="P98" s="11" t="s">
        <v>371</v>
      </c>
      <c r="Q98" s="12" t="s">
        <v>38</v>
      </c>
      <c r="R98" s="12" t="s">
        <v>38</v>
      </c>
      <c r="S98" s="12" t="b">
        <v>1</v>
      </c>
      <c r="T98" s="12" t="b">
        <v>1</v>
      </c>
      <c r="U98" s="12">
        <v>1</v>
      </c>
      <c r="V98" s="12" t="s">
        <v>369</v>
      </c>
      <c r="W98" s="12" t="s">
        <v>369</v>
      </c>
      <c r="X98" s="12" t="b">
        <v>1</v>
      </c>
      <c r="Y98" s="12" t="b">
        <v>1</v>
      </c>
      <c r="Z98" s="12">
        <v>1</v>
      </c>
      <c r="AA98" s="12">
        <v>0.81559999999999999</v>
      </c>
      <c r="AB98" s="12" t="s">
        <v>1335</v>
      </c>
      <c r="AC98" s="12" t="s">
        <v>1268</v>
      </c>
      <c r="AD98" s="13" t="b">
        <v>1</v>
      </c>
    </row>
    <row r="99" spans="1:30">
      <c r="A99" t="s">
        <v>373</v>
      </c>
      <c r="B99" t="s">
        <v>271</v>
      </c>
      <c r="C99" t="s">
        <v>374</v>
      </c>
      <c r="D99" t="s">
        <v>127</v>
      </c>
      <c r="E99" t="s">
        <v>127</v>
      </c>
      <c r="G99" t="s">
        <v>375</v>
      </c>
      <c r="L99" t="s">
        <v>372</v>
      </c>
      <c r="M99" t="s">
        <v>24</v>
      </c>
      <c r="N99" t="s">
        <v>25</v>
      </c>
      <c r="O99">
        <v>483</v>
      </c>
      <c r="P99" s="11" t="s">
        <v>375</v>
      </c>
      <c r="Q99" s="12" t="s">
        <v>271</v>
      </c>
      <c r="R99" s="12" t="s">
        <v>271</v>
      </c>
      <c r="S99" s="12" t="b">
        <v>1</v>
      </c>
      <c r="T99" s="12" t="b">
        <v>1</v>
      </c>
      <c r="U99" s="12">
        <v>1</v>
      </c>
      <c r="V99" s="12" t="s">
        <v>374</v>
      </c>
      <c r="W99" s="12" t="s">
        <v>374</v>
      </c>
      <c r="X99" s="12" t="b">
        <v>1</v>
      </c>
      <c r="Y99" s="12" t="b">
        <v>1</v>
      </c>
      <c r="Z99" s="12">
        <v>1</v>
      </c>
      <c r="AA99" s="12">
        <v>1.1588000000000001</v>
      </c>
      <c r="AB99" s="12" t="s">
        <v>271</v>
      </c>
      <c r="AC99" s="12" t="s">
        <v>1269</v>
      </c>
      <c r="AD99" s="13" t="b">
        <v>1</v>
      </c>
    </row>
    <row r="100" spans="1:30">
      <c r="A100" t="s">
        <v>376</v>
      </c>
      <c r="B100" t="s">
        <v>377</v>
      </c>
      <c r="C100" t="s">
        <v>378</v>
      </c>
      <c r="D100" t="s">
        <v>379</v>
      </c>
      <c r="E100" t="s">
        <v>379</v>
      </c>
      <c r="G100" t="s">
        <v>381</v>
      </c>
      <c r="L100" t="s">
        <v>372</v>
      </c>
      <c r="M100" t="s">
        <v>24</v>
      </c>
      <c r="N100" t="s">
        <v>49</v>
      </c>
      <c r="O100">
        <v>483</v>
      </c>
      <c r="P100" s="11" t="s">
        <v>381</v>
      </c>
      <c r="Q100" s="12" t="s">
        <v>377</v>
      </c>
      <c r="R100" s="12" t="s">
        <v>377</v>
      </c>
      <c r="S100" s="12" t="b">
        <v>1</v>
      </c>
      <c r="T100" s="12" t="b">
        <v>1</v>
      </c>
      <c r="U100" s="12">
        <v>1</v>
      </c>
      <c r="V100" s="12" t="s">
        <v>378</v>
      </c>
      <c r="W100" s="12" t="s">
        <v>378</v>
      </c>
      <c r="X100" s="12" t="b">
        <v>1</v>
      </c>
      <c r="Y100" s="12" t="b">
        <v>1</v>
      </c>
      <c r="Z100" s="12">
        <v>1</v>
      </c>
      <c r="AA100" s="12">
        <v>0.76619999999999999</v>
      </c>
      <c r="AB100" s="12" t="s">
        <v>1336</v>
      </c>
      <c r="AC100" s="12" t="s">
        <v>1271</v>
      </c>
      <c r="AD100" s="13" t="b">
        <v>1</v>
      </c>
    </row>
    <row r="101" spans="1:30">
      <c r="A101" t="s">
        <v>382</v>
      </c>
      <c r="B101" t="s">
        <v>383</v>
      </c>
      <c r="C101" t="s">
        <v>384</v>
      </c>
      <c r="D101" t="s">
        <v>127</v>
      </c>
      <c r="E101" t="s">
        <v>127</v>
      </c>
      <c r="G101" t="s">
        <v>386</v>
      </c>
      <c r="L101" t="s">
        <v>372</v>
      </c>
      <c r="M101" t="s">
        <v>24</v>
      </c>
      <c r="N101" t="s">
        <v>31</v>
      </c>
      <c r="O101">
        <v>483</v>
      </c>
      <c r="P101" s="11" t="s">
        <v>386</v>
      </c>
      <c r="Q101" s="12" t="s">
        <v>383</v>
      </c>
      <c r="R101" s="12" t="s">
        <v>383</v>
      </c>
      <c r="S101" s="12" t="b">
        <v>1</v>
      </c>
      <c r="T101" s="12" t="b">
        <v>1</v>
      </c>
      <c r="U101" s="12">
        <v>1</v>
      </c>
      <c r="V101" s="12" t="s">
        <v>384</v>
      </c>
      <c r="W101" s="12" t="s">
        <v>384</v>
      </c>
      <c r="X101" s="12" t="b">
        <v>1</v>
      </c>
      <c r="Y101" s="12" t="b">
        <v>1</v>
      </c>
      <c r="Z101" s="12">
        <v>1</v>
      </c>
      <c r="AA101" s="12">
        <v>1.1755</v>
      </c>
      <c r="AB101" s="12" t="s">
        <v>1337</v>
      </c>
      <c r="AC101" s="12" t="s">
        <v>1273</v>
      </c>
      <c r="AD101" s="13" t="b">
        <v>1</v>
      </c>
    </row>
    <row r="102" spans="1:30">
      <c r="A102" t="s">
        <v>382</v>
      </c>
      <c r="B102" t="s">
        <v>383</v>
      </c>
      <c r="C102" t="s">
        <v>384</v>
      </c>
      <c r="D102" t="s">
        <v>127</v>
      </c>
      <c r="E102" t="s">
        <v>127</v>
      </c>
      <c r="G102" t="s">
        <v>387</v>
      </c>
      <c r="L102" t="s">
        <v>372</v>
      </c>
      <c r="M102" t="s">
        <v>24</v>
      </c>
      <c r="N102" t="s">
        <v>31</v>
      </c>
      <c r="O102">
        <v>483</v>
      </c>
      <c r="P102" s="11" t="s">
        <v>387</v>
      </c>
      <c r="Q102" s="12" t="s">
        <v>383</v>
      </c>
      <c r="R102" s="12" t="s">
        <v>383</v>
      </c>
      <c r="S102" s="12" t="b">
        <v>1</v>
      </c>
      <c r="T102" s="12" t="b">
        <v>1</v>
      </c>
      <c r="U102" s="12">
        <v>1</v>
      </c>
      <c r="V102" s="12" t="s">
        <v>384</v>
      </c>
      <c r="W102" s="12" t="s">
        <v>384</v>
      </c>
      <c r="X102" s="12" t="b">
        <v>1</v>
      </c>
      <c r="Y102" s="12" t="b">
        <v>1</v>
      </c>
      <c r="Z102" s="12">
        <v>1</v>
      </c>
      <c r="AA102" s="12">
        <v>1.1755</v>
      </c>
      <c r="AB102" s="12" t="s">
        <v>1337</v>
      </c>
      <c r="AC102" s="12" t="s">
        <v>1273</v>
      </c>
      <c r="AD102" s="13" t="b">
        <v>1</v>
      </c>
    </row>
    <row r="103" spans="1:30">
      <c r="A103" t="s">
        <v>388</v>
      </c>
      <c r="B103" t="s">
        <v>389</v>
      </c>
      <c r="C103" t="s">
        <v>390</v>
      </c>
      <c r="D103" t="s">
        <v>127</v>
      </c>
      <c r="E103" t="s">
        <v>127</v>
      </c>
      <c r="G103" t="s">
        <v>392</v>
      </c>
      <c r="L103" t="s">
        <v>372</v>
      </c>
      <c r="M103" t="s">
        <v>24</v>
      </c>
      <c r="N103" t="s">
        <v>25</v>
      </c>
      <c r="O103">
        <v>483</v>
      </c>
      <c r="P103" s="11" t="s">
        <v>392</v>
      </c>
      <c r="Q103" s="12" t="s">
        <v>389</v>
      </c>
      <c r="R103" s="12" t="s">
        <v>389</v>
      </c>
      <c r="S103" s="12" t="b">
        <v>1</v>
      </c>
      <c r="T103" s="12" t="b">
        <v>1</v>
      </c>
      <c r="U103" s="12">
        <v>1</v>
      </c>
      <c r="V103" s="12" t="s">
        <v>390</v>
      </c>
      <c r="W103" s="12" t="s">
        <v>390</v>
      </c>
      <c r="X103" s="12" t="b">
        <v>1</v>
      </c>
      <c r="Y103" s="12" t="b">
        <v>1</v>
      </c>
      <c r="Z103" s="12">
        <v>1</v>
      </c>
      <c r="AA103" s="12">
        <v>1.1183000000000001</v>
      </c>
      <c r="AB103" s="12" t="s">
        <v>1338</v>
      </c>
      <c r="AC103" s="12" t="s">
        <v>1275</v>
      </c>
      <c r="AD103" s="13" t="b">
        <v>1</v>
      </c>
    </row>
    <row r="104" spans="1:30">
      <c r="A104" t="s">
        <v>348</v>
      </c>
      <c r="B104" t="s">
        <v>349</v>
      </c>
      <c r="C104" t="s">
        <v>350</v>
      </c>
      <c r="D104" t="s">
        <v>127</v>
      </c>
      <c r="E104" t="s">
        <v>127</v>
      </c>
      <c r="G104" t="s">
        <v>352</v>
      </c>
      <c r="L104" t="s">
        <v>372</v>
      </c>
      <c r="M104" t="s">
        <v>24</v>
      </c>
      <c r="N104" t="s">
        <v>25</v>
      </c>
      <c r="O104">
        <v>483</v>
      </c>
      <c r="P104" s="11" t="s">
        <v>352</v>
      </c>
      <c r="Q104" s="12" t="s">
        <v>349</v>
      </c>
      <c r="R104" s="12" t="s">
        <v>349</v>
      </c>
      <c r="S104" s="12" t="b">
        <v>1</v>
      </c>
      <c r="T104" s="12" t="b">
        <v>1</v>
      </c>
      <c r="U104" s="12">
        <v>1</v>
      </c>
      <c r="V104" s="12" t="s">
        <v>350</v>
      </c>
      <c r="W104" s="12" t="s">
        <v>350</v>
      </c>
      <c r="X104" s="12" t="b">
        <v>1</v>
      </c>
      <c r="Y104" s="12" t="b">
        <v>1</v>
      </c>
      <c r="Z104" s="12">
        <v>1</v>
      </c>
      <c r="AA104" s="12">
        <v>1.1599999999999999</v>
      </c>
      <c r="AB104" s="12" t="s">
        <v>1031</v>
      </c>
      <c r="AC104" s="12" t="s">
        <v>1257</v>
      </c>
      <c r="AD104" s="13" t="b">
        <v>1</v>
      </c>
    </row>
    <row r="105" spans="1:30">
      <c r="A105" t="s">
        <v>393</v>
      </c>
      <c r="B105" t="s">
        <v>344</v>
      </c>
      <c r="C105" t="s">
        <v>394</v>
      </c>
      <c r="D105" t="s">
        <v>127</v>
      </c>
      <c r="E105" t="s">
        <v>127</v>
      </c>
      <c r="G105" t="s">
        <v>395</v>
      </c>
      <c r="L105" t="s">
        <v>372</v>
      </c>
      <c r="M105" t="s">
        <v>24</v>
      </c>
      <c r="N105" t="s">
        <v>25</v>
      </c>
      <c r="O105">
        <v>483</v>
      </c>
      <c r="P105" s="11" t="s">
        <v>395</v>
      </c>
      <c r="Q105" s="12" t="s">
        <v>344</v>
      </c>
      <c r="R105" s="12" t="s">
        <v>344</v>
      </c>
      <c r="S105" s="12" t="b">
        <v>1</v>
      </c>
      <c r="T105" s="12" t="b">
        <v>1</v>
      </c>
      <c r="U105" s="12">
        <v>1</v>
      </c>
      <c r="V105" s="12" t="s">
        <v>394</v>
      </c>
      <c r="W105" s="12" t="s">
        <v>394</v>
      </c>
      <c r="X105" s="12" t="b">
        <v>1</v>
      </c>
      <c r="Y105" s="12" t="b">
        <v>1</v>
      </c>
      <c r="Z105" s="12">
        <v>1</v>
      </c>
      <c r="AA105" s="12">
        <v>0.81789999999999996</v>
      </c>
      <c r="AB105" s="12" t="s">
        <v>344</v>
      </c>
      <c r="AC105" s="12" t="s">
        <v>1276</v>
      </c>
      <c r="AD105" s="13" t="b">
        <v>1</v>
      </c>
    </row>
    <row r="106" spans="1:30">
      <c r="A106" t="s">
        <v>396</v>
      </c>
      <c r="B106" t="s">
        <v>397</v>
      </c>
      <c r="C106" t="s">
        <v>398</v>
      </c>
      <c r="D106" t="s">
        <v>127</v>
      </c>
      <c r="E106" t="s">
        <v>127</v>
      </c>
      <c r="G106" t="s">
        <v>400</v>
      </c>
      <c r="L106" t="s">
        <v>372</v>
      </c>
      <c r="M106" t="s">
        <v>24</v>
      </c>
      <c r="N106" t="s">
        <v>25</v>
      </c>
      <c r="O106">
        <v>483</v>
      </c>
      <c r="P106" s="11" t="s">
        <v>400</v>
      </c>
      <c r="Q106" s="12" t="s">
        <v>397</v>
      </c>
      <c r="R106" s="12" t="s">
        <v>397</v>
      </c>
      <c r="S106" s="12" t="b">
        <v>1</v>
      </c>
      <c r="T106" s="12" t="b">
        <v>1</v>
      </c>
      <c r="U106" s="12">
        <v>1</v>
      </c>
      <c r="V106" s="12" t="s">
        <v>398</v>
      </c>
      <c r="W106" s="12" t="s">
        <v>398</v>
      </c>
      <c r="X106" s="12" t="b">
        <v>1</v>
      </c>
      <c r="Y106" s="12" t="b">
        <v>1</v>
      </c>
      <c r="Z106" s="12">
        <v>1</v>
      </c>
      <c r="AA106" s="12">
        <v>1.0125</v>
      </c>
      <c r="AB106" s="12" t="s">
        <v>397</v>
      </c>
      <c r="AC106" s="12" t="s">
        <v>1277</v>
      </c>
      <c r="AD106" s="13" t="b">
        <v>1</v>
      </c>
    </row>
    <row r="107" spans="1:30">
      <c r="A107" t="s">
        <v>401</v>
      </c>
      <c r="B107" t="s">
        <v>397</v>
      </c>
      <c r="C107" t="s">
        <v>402</v>
      </c>
      <c r="D107" t="s">
        <v>379</v>
      </c>
      <c r="E107" t="s">
        <v>379</v>
      </c>
      <c r="G107" t="s">
        <v>403</v>
      </c>
      <c r="L107" t="s">
        <v>372</v>
      </c>
      <c r="M107" t="s">
        <v>24</v>
      </c>
      <c r="N107" t="s">
        <v>25</v>
      </c>
      <c r="O107">
        <v>483</v>
      </c>
      <c r="P107" s="11" t="s">
        <v>403</v>
      </c>
      <c r="Q107" s="12" t="s">
        <v>397</v>
      </c>
      <c r="R107" s="12" t="s">
        <v>397</v>
      </c>
      <c r="S107" s="12" t="b">
        <v>1</v>
      </c>
      <c r="T107" s="12" t="b">
        <v>1</v>
      </c>
      <c r="U107" s="12">
        <v>1</v>
      </c>
      <c r="V107" s="12" t="s">
        <v>402</v>
      </c>
      <c r="W107" s="12" t="s">
        <v>398</v>
      </c>
      <c r="X107" s="12" t="b">
        <v>0</v>
      </c>
      <c r="Y107" s="12" t="b">
        <v>1</v>
      </c>
      <c r="Z107" s="12">
        <v>2</v>
      </c>
      <c r="AA107" s="12">
        <v>1.0125</v>
      </c>
      <c r="AB107" s="12" t="s">
        <v>397</v>
      </c>
      <c r="AC107" s="12" t="s">
        <v>1277</v>
      </c>
      <c r="AD107" s="13" t="b">
        <v>1</v>
      </c>
    </row>
    <row r="108" spans="1:30">
      <c r="A108" t="s">
        <v>404</v>
      </c>
      <c r="B108" t="s">
        <v>405</v>
      </c>
      <c r="C108" t="s">
        <v>406</v>
      </c>
      <c r="D108" t="s">
        <v>127</v>
      </c>
      <c r="E108" t="s">
        <v>127</v>
      </c>
      <c r="G108" t="s">
        <v>404</v>
      </c>
      <c r="L108" t="s">
        <v>372</v>
      </c>
      <c r="M108" t="s">
        <v>24</v>
      </c>
      <c r="N108" t="s">
        <v>25</v>
      </c>
      <c r="O108">
        <v>483</v>
      </c>
      <c r="P108" s="11" t="s">
        <v>404</v>
      </c>
      <c r="Q108" s="12" t="s">
        <v>405</v>
      </c>
      <c r="R108" s="12" t="s">
        <v>405</v>
      </c>
      <c r="S108" s="12" t="b">
        <v>1</v>
      </c>
      <c r="T108" s="12" t="b">
        <v>1</v>
      </c>
      <c r="U108" s="12">
        <v>1</v>
      </c>
      <c r="V108" s="12" t="s">
        <v>406</v>
      </c>
      <c r="W108" s="12" t="s">
        <v>406</v>
      </c>
      <c r="X108" s="12" t="b">
        <v>1</v>
      </c>
      <c r="Y108" s="12" t="b">
        <v>1</v>
      </c>
      <c r="Z108" s="12">
        <v>1</v>
      </c>
      <c r="AA108" s="12">
        <v>1.0589999999999999</v>
      </c>
      <c r="AB108" s="12" t="s">
        <v>1339</v>
      </c>
      <c r="AC108" s="12" t="s">
        <v>1279</v>
      </c>
      <c r="AD108" s="13" t="b">
        <v>1</v>
      </c>
    </row>
    <row r="109" spans="1:30">
      <c r="A109" t="s">
        <v>408</v>
      </c>
      <c r="B109" t="s">
        <v>405</v>
      </c>
      <c r="C109" t="s">
        <v>409</v>
      </c>
      <c r="D109" t="s">
        <v>379</v>
      </c>
      <c r="E109" t="s">
        <v>379</v>
      </c>
      <c r="G109" t="s">
        <v>408</v>
      </c>
      <c r="L109" t="s">
        <v>372</v>
      </c>
      <c r="M109" t="s">
        <v>24</v>
      </c>
      <c r="N109" t="s">
        <v>25</v>
      </c>
      <c r="O109">
        <v>483</v>
      </c>
      <c r="P109" s="11" t="s">
        <v>408</v>
      </c>
      <c r="Q109" s="12" t="s">
        <v>405</v>
      </c>
      <c r="R109" s="12" t="s">
        <v>405</v>
      </c>
      <c r="S109" s="12" t="b">
        <v>1</v>
      </c>
      <c r="T109" s="12" t="b">
        <v>1</v>
      </c>
      <c r="U109" s="12">
        <v>1</v>
      </c>
      <c r="V109" s="12" t="s">
        <v>409</v>
      </c>
      <c r="W109" s="12" t="s">
        <v>409</v>
      </c>
      <c r="X109" s="12" t="b">
        <v>1</v>
      </c>
      <c r="Y109" s="12" t="b">
        <v>1</v>
      </c>
      <c r="Z109" s="12">
        <v>1</v>
      </c>
      <c r="AA109" s="12">
        <v>1.0589999999999999</v>
      </c>
      <c r="AB109" s="12" t="s">
        <v>1339</v>
      </c>
      <c r="AC109" s="12" t="s">
        <v>1280</v>
      </c>
      <c r="AD109" s="13" t="b">
        <v>1</v>
      </c>
    </row>
    <row r="110" spans="1:30">
      <c r="A110" t="s">
        <v>410</v>
      </c>
      <c r="B110" t="s">
        <v>595</v>
      </c>
      <c r="C110" t="s">
        <v>411</v>
      </c>
      <c r="D110" t="s">
        <v>127</v>
      </c>
      <c r="E110" t="s">
        <v>127</v>
      </c>
      <c r="G110" t="s">
        <v>412</v>
      </c>
      <c r="L110" t="s">
        <v>372</v>
      </c>
      <c r="M110" t="s">
        <v>24</v>
      </c>
      <c r="N110" t="s">
        <v>31</v>
      </c>
      <c r="O110">
        <v>483</v>
      </c>
      <c r="P110" s="11" t="s">
        <v>412</v>
      </c>
      <c r="Q110" s="12" t="s">
        <v>410</v>
      </c>
      <c r="R110" s="12" t="s">
        <v>410</v>
      </c>
      <c r="S110" s="12" t="b">
        <v>1</v>
      </c>
      <c r="T110" s="12" t="b">
        <v>1</v>
      </c>
      <c r="U110" s="12">
        <v>1</v>
      </c>
      <c r="V110" s="12" t="s">
        <v>411</v>
      </c>
      <c r="W110" s="12" t="s">
        <v>411</v>
      </c>
      <c r="X110" s="12" t="b">
        <v>1</v>
      </c>
      <c r="Y110" s="12" t="b">
        <v>1</v>
      </c>
      <c r="Z110" s="12">
        <v>1</v>
      </c>
      <c r="AA110" s="12">
        <v>1.1418999999999999</v>
      </c>
      <c r="AB110" s="12" t="s">
        <v>1042</v>
      </c>
      <c r="AC110" s="12" t="s">
        <v>411</v>
      </c>
      <c r="AD110" s="13" t="b">
        <v>1</v>
      </c>
    </row>
    <row r="111" spans="1:30">
      <c r="A111" t="s">
        <v>413</v>
      </c>
      <c r="B111" t="s">
        <v>331</v>
      </c>
      <c r="C111" t="s">
        <v>414</v>
      </c>
      <c r="D111" t="s">
        <v>127</v>
      </c>
      <c r="E111" t="s">
        <v>127</v>
      </c>
      <c r="G111" t="s">
        <v>415</v>
      </c>
      <c r="L111" t="s">
        <v>372</v>
      </c>
      <c r="M111" t="s">
        <v>24</v>
      </c>
      <c r="N111" t="s">
        <v>31</v>
      </c>
      <c r="O111">
        <v>483</v>
      </c>
      <c r="P111" s="14" t="s">
        <v>415</v>
      </c>
      <c r="Q111" s="15" t="s">
        <v>331</v>
      </c>
      <c r="R111" s="15" t="s">
        <v>331</v>
      </c>
      <c r="S111" s="15" t="b">
        <v>1</v>
      </c>
      <c r="T111" s="15" t="b">
        <v>1</v>
      </c>
      <c r="U111" s="15">
        <v>1</v>
      </c>
      <c r="V111" s="15" t="s">
        <v>414</v>
      </c>
      <c r="W111" s="15" t="s">
        <v>414</v>
      </c>
      <c r="X111" s="15" t="b">
        <v>1</v>
      </c>
      <c r="Y111" s="15" t="b">
        <v>1</v>
      </c>
      <c r="Z111" s="15">
        <v>1</v>
      </c>
      <c r="AA111" s="15">
        <v>0.83660000000000001</v>
      </c>
      <c r="AB111" s="15" t="s">
        <v>331</v>
      </c>
      <c r="AC111" s="15" t="s">
        <v>1284</v>
      </c>
      <c r="AD111" s="16" t="b">
        <v>1</v>
      </c>
    </row>
  </sheetData>
  <autoFilter ref="A15:AJ111" xr:uid="{5E0BE612-B831-4DFF-B4BD-4E14D20E8F9D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F113-FF38-4D9A-8D3B-3C6E7903E56B}">
  <dimension ref="A1:AT110"/>
  <sheetViews>
    <sheetView topLeftCell="AA1" workbookViewId="0">
      <selection activeCell="W56" sqref="W56"/>
    </sheetView>
  </sheetViews>
  <sheetFormatPr defaultRowHeight="15"/>
  <cols>
    <col min="1" max="1" width="23.28515625" customWidth="1"/>
    <col min="2" max="2" width="16.140625" customWidth="1"/>
    <col min="3" max="3" width="17.42578125" customWidth="1"/>
    <col min="4" max="4" width="13.7109375" customWidth="1"/>
    <col min="5" max="5" width="11.140625" customWidth="1"/>
    <col min="6" max="6" width="26" customWidth="1"/>
    <col min="7" max="7" width="23.85546875" customWidth="1"/>
    <col min="8" max="11" width="9.140625" bestFit="1" customWidth="1"/>
    <col min="12" max="12" width="16" bestFit="1" customWidth="1"/>
    <col min="13" max="14" width="9.140625" bestFit="1" customWidth="1"/>
    <col min="15" max="16" width="16.28515625" customWidth="1"/>
    <col min="17" max="17" width="20.85546875" customWidth="1"/>
    <col min="18" max="18" width="23.140625" customWidth="1"/>
    <col min="19" max="20" width="9.140625" bestFit="1" customWidth="1"/>
    <col min="21" max="21" width="9.28515625" customWidth="1"/>
    <col min="22" max="22" width="23" customWidth="1"/>
    <col min="23" max="23" width="21.42578125" customWidth="1"/>
    <col min="24" max="24" width="10.140625" customWidth="1"/>
    <col min="25" max="25" width="9.140625" bestFit="1" customWidth="1"/>
    <col min="26" max="26" width="11.42578125" customWidth="1"/>
    <col min="27" max="29" width="9.140625" bestFit="1" customWidth="1"/>
    <col min="30" max="30" width="12" customWidth="1"/>
    <col min="31" max="31" width="29.140625" customWidth="1"/>
    <col min="32" max="32" width="9.140625" bestFit="1" customWidth="1"/>
    <col min="33" max="33" width="14.85546875" customWidth="1"/>
    <col min="34" max="34" width="9.42578125" customWidth="1"/>
    <col min="35" max="35" width="15.140625" customWidth="1"/>
    <col min="36" max="36" width="12.5703125" customWidth="1"/>
  </cols>
  <sheetData>
    <row r="1" spans="1:46">
      <c r="AF1" t="s">
        <v>1101</v>
      </c>
      <c r="AL1" t="s">
        <v>31</v>
      </c>
      <c r="AQ1" t="s">
        <v>1340</v>
      </c>
    </row>
    <row r="2" spans="1:46">
      <c r="AF2" t="str" cm="1">
        <f t="array" ref="AF2:AF8">_xlfn.UNIQUE(L16:L506)</f>
        <v>us bank cashfile</v>
      </c>
      <c r="AH2">
        <f>COUNTIFS($N$16:$N$499,"Company Match", L$16:L$499, AF2)</f>
        <v>14</v>
      </c>
      <c r="AI2">
        <f>COUNTIFS($N$16:$N$506,"Company Match", L$16:L$506, AF2, S$16:S$506, TRUE)</f>
        <v>13</v>
      </c>
      <c r="AJ2" s="21">
        <f>AI2/AH2</f>
        <v>0.9285714285714286</v>
      </c>
      <c r="AL2">
        <f>COUNTIFS($N$16:$N$499,"Security Match", L$16:L$499, AF2)</f>
        <v>12</v>
      </c>
      <c r="AM2">
        <f>COUNTIFS($N$16:$N$506,"Security Match", L$16:L$506, AF2, S$16:S$506, TRUE)</f>
        <v>11</v>
      </c>
      <c r="AN2" s="40">
        <f>AM2/AL2</f>
        <v>0.91666666666666663</v>
      </c>
      <c r="AQ2" t="str" cm="1">
        <f t="array" ref="AQ2:AQ8">_xlfn.UNIQUE(L16:L506)</f>
        <v>us bank cashfile</v>
      </c>
      <c r="AR2">
        <f>COUNTIFS($N$16:$N$499,"Company Match", L$16:L$499, AF2)</f>
        <v>14</v>
      </c>
      <c r="AS2">
        <f>COUNTIFS($N$16:$N$506,"Company Match", L$16:L$506, AF2, X$16:X$506, TRUE)</f>
        <v>11</v>
      </c>
      <c r="AT2" s="21">
        <f>AS2/AR2</f>
        <v>0.7857142857142857</v>
      </c>
    </row>
    <row r="3" spans="1:46">
      <c r="AF3" t="str">
        <v>watc_holdings</v>
      </c>
      <c r="AH3">
        <f>COUNTIFS($N$16:$N$499,"Company Match", L$16:L$499, AF3)</f>
        <v>7</v>
      </c>
      <c r="AI3">
        <f>COUNTIFS($N$16:$N$506,"Company Match", L$16:L$506, AF3, S$16:S$506, TRUE)</f>
        <v>7</v>
      </c>
      <c r="AJ3" s="21">
        <f>AI3/AH3</f>
        <v>1</v>
      </c>
      <c r="AL3">
        <f>COUNTIFS($N$16:$N$499,"Security Match", L$16:L$499, AF3)</f>
        <v>5</v>
      </c>
      <c r="AM3">
        <f>COUNTIFS($N$16:$N$506,"Security Match", L$16:L$506, AF3, S$16:S$506, TRUE)</f>
        <v>5</v>
      </c>
      <c r="AN3" s="40">
        <f>AM3/AL3</f>
        <v>1</v>
      </c>
      <c r="AQ3" t="str">
        <v>watc_holdings</v>
      </c>
      <c r="AR3">
        <f>COUNTIFS($N$16:$N$499,"Company Match", L$16:L$499, AF3)</f>
        <v>7</v>
      </c>
      <c r="AS3">
        <f>COUNTIFS($N$16:$N$506,"Company Match", L$16:L$506, AF3, X$16:X$506, TRUE)</f>
        <v>6</v>
      </c>
      <c r="AT3" s="21">
        <f t="shared" ref="AT3:AT7" si="0">AS3/AR3</f>
        <v>0.8571428571428571</v>
      </c>
    </row>
    <row r="4" spans="1:46">
      <c r="AF4" t="str">
        <v>market_value</v>
      </c>
      <c r="AH4">
        <f>COUNTIFS($N$16:$N$499,"Company Match", L$16:L$499, AF4)</f>
        <v>8</v>
      </c>
      <c r="AI4">
        <f>COUNTIFS($N$16:$N$506,"Company Match", L$16:L$506, AF4, S$16:S$506, TRUE)</f>
        <v>7</v>
      </c>
      <c r="AJ4" s="21">
        <f>AI4/AH4</f>
        <v>0.875</v>
      </c>
      <c r="AL4">
        <f>COUNTIFS($N$16:$N$499,"Security Match", L$16:L$499, AF4)</f>
        <v>5</v>
      </c>
      <c r="AM4">
        <f>COUNTIFS($N$16:$N$506,"Security Match", L$16:L$506, AF4, S$16:S$506, TRUE)</f>
        <v>5</v>
      </c>
      <c r="AN4" s="40">
        <f>AM4/AL4</f>
        <v>1</v>
      </c>
      <c r="AQ4" t="str">
        <v>market_value</v>
      </c>
      <c r="AR4">
        <f>COUNTIFS($N$16:$N$499,"Company Match", L$16:L$499, AF4)</f>
        <v>8</v>
      </c>
      <c r="AS4">
        <f>COUNTIFS($N$16:$N$506,"Company Match", L$16:L$506, AF4, X$16:X$506, TRUE)</f>
        <v>4</v>
      </c>
      <c r="AT4" s="21">
        <f t="shared" si="0"/>
        <v>0.5</v>
      </c>
    </row>
    <row r="5" spans="1:46">
      <c r="AF5" t="str">
        <v>master_ratings</v>
      </c>
      <c r="AH5">
        <f>COUNTIFS($N$16:$N$499,"Company Match", L$16:L$499, AF5)</f>
        <v>9</v>
      </c>
      <c r="AI5">
        <f>COUNTIFS($N$16:$N$506,"Company Match", L$16:L$506, AF5, S$16:S$506, TRUE)</f>
        <v>9</v>
      </c>
      <c r="AJ5" s="21">
        <f>AI5/AH5</f>
        <v>1</v>
      </c>
      <c r="AL5">
        <f>COUNTIFS($N$16:$N$499,"Security Match", L$16:L$499, AF5)</f>
        <v>0</v>
      </c>
      <c r="AM5">
        <f>COUNTIFS($N$16:$N$506,"Security Match", L$16:L$506, AF5, S$16:S$506, TRUE)</f>
        <v>0</v>
      </c>
      <c r="AQ5" t="str">
        <v>master_ratings</v>
      </c>
      <c r="AR5">
        <f>COUNTIFS($N$16:$N$499,"Company Match", L$16:L$499, AF5)</f>
        <v>9</v>
      </c>
      <c r="AS5">
        <f>COUNTIFS($N$16:$N$506,"Company Match", L$16:L$506, AF5, X$16:X$506, TRUE)</f>
        <v>4</v>
      </c>
      <c r="AT5" s="21">
        <f t="shared" si="0"/>
        <v>0.44444444444444442</v>
      </c>
    </row>
    <row r="6" spans="1:46">
      <c r="AF6" t="str">
        <v>consolidated_soi</v>
      </c>
      <c r="AH6">
        <f>COUNTIFS($N$16:$N$499,"Company Match", L$16:L$499, AF6)</f>
        <v>4</v>
      </c>
      <c r="AI6">
        <f>COUNTIFS($N$16:$N$506,"Company Match", L$16:L$506, AF6, S$16:S$506, TRUE)</f>
        <v>2</v>
      </c>
      <c r="AJ6" s="21">
        <f>AI6/AH6</f>
        <v>0.5</v>
      </c>
      <c r="AL6">
        <f>COUNTIFS($N$16:$N$499,"Security Match", L$16:L$499, AF6)</f>
        <v>4</v>
      </c>
      <c r="AM6">
        <f>COUNTIFS($N$16:$N$506,"Security Match", L$16:L$506, AF6, S$16:S$506, TRUE)</f>
        <v>2</v>
      </c>
      <c r="AN6" s="40">
        <f>AM6/AL6</f>
        <v>0.5</v>
      </c>
      <c r="AQ6" t="str">
        <v>consolidated_soi</v>
      </c>
      <c r="AR6">
        <f>COUNTIFS($N$16:$N$499,"Company Match", L$16:L$499, AF6)</f>
        <v>4</v>
      </c>
      <c r="AS6">
        <f>COUNTIFS($N$16:$N$506,"Company Match", L$16:L$506, AF6, X$16:X$506, TRUE)</f>
        <v>1</v>
      </c>
      <c r="AT6" s="21">
        <f t="shared" si="0"/>
        <v>0.25</v>
      </c>
    </row>
    <row r="7" spans="1:46">
      <c r="AF7" t="str">
        <v>daily_long_short</v>
      </c>
      <c r="AH7">
        <f>COUNTIFS($N$16:$N$499,"Company Match", L$16:L$499, AF7)</f>
        <v>7</v>
      </c>
      <c r="AI7">
        <f>COUNTIFS($N$16:$N$506,"Company Match", L$16:L$506, AF7, S$16:S$506, TRUE)</f>
        <v>7</v>
      </c>
      <c r="AJ7" s="21">
        <f>AI7/AH7</f>
        <v>1</v>
      </c>
      <c r="AL7">
        <f>COUNTIFS($N$16:$N$499,"Security Match", L$16:L$499, AF7)</f>
        <v>5</v>
      </c>
      <c r="AM7">
        <f>COUNTIFS($N$16:$N$506,"Security Match", L$16:L$506, AF7, S$16:S$506, TRUE)</f>
        <v>2</v>
      </c>
      <c r="AN7" s="40">
        <f>AM7/AL7</f>
        <v>0.4</v>
      </c>
      <c r="AQ7" t="str">
        <v>daily_long_short</v>
      </c>
      <c r="AR7">
        <f>COUNTIFS($N$16:$N$499,"Company Match", L$16:L$499, AF7)</f>
        <v>7</v>
      </c>
      <c r="AS7">
        <f>COUNTIFS($N$16:$N$506,"Company Match", L$16:L$506, AF7, X$16:X$506, TRUE)</f>
        <v>6</v>
      </c>
      <c r="AT7" s="21">
        <f t="shared" si="0"/>
        <v>0.8571428571428571</v>
      </c>
    </row>
    <row r="8" spans="1:46">
      <c r="AF8">
        <v>0</v>
      </c>
      <c r="AN8" s="40"/>
      <c r="AQ8">
        <v>0</v>
      </c>
    </row>
    <row r="10" spans="1:46">
      <c r="AE10" s="25" t="s">
        <v>981</v>
      </c>
      <c r="AF10" s="25" t="s">
        <v>982</v>
      </c>
      <c r="AG10" s="25" t="s">
        <v>1102</v>
      </c>
      <c r="AH10" s="25" t="s">
        <v>984</v>
      </c>
      <c r="AI10" s="25" t="s">
        <v>1103</v>
      </c>
      <c r="AJ10" s="25" t="s">
        <v>984</v>
      </c>
    </row>
    <row r="11" spans="1:46">
      <c r="AE11" s="26" t="s">
        <v>25</v>
      </c>
      <c r="AF11" s="28">
        <f>COUNTIF($N$16:$N$110,"Company Match")</f>
        <v>49</v>
      </c>
      <c r="AG11" s="28">
        <f>COUNTIFS($N$16:$N$110,"Company Match",$S$16:$S$110,TRUE)</f>
        <v>45</v>
      </c>
      <c r="AH11" s="29">
        <f>IF(AF11&gt;0,AG11/AF11,0)</f>
        <v>0.91836734693877553</v>
      </c>
      <c r="AI11" s="28">
        <f>COUNTIFS($N$16:$N$126,"Company Match",$X$16:$X$126,TRUE)</f>
        <v>32</v>
      </c>
      <c r="AJ11" s="29">
        <f>IF(AF11&gt;0,AI11/AF11,0)</f>
        <v>0.65306122448979587</v>
      </c>
    </row>
    <row r="12" spans="1:46">
      <c r="AE12" s="26" t="s">
        <v>31</v>
      </c>
      <c r="AF12" s="28">
        <f>COUNTIF($N$16:$N$110,"Security Match")</f>
        <v>31</v>
      </c>
      <c r="AG12" s="28">
        <f>COUNTIFS($N$16:$N$110,"Security Match",$S$16:$S$110,TRUE)</f>
        <v>25</v>
      </c>
      <c r="AH12" s="29">
        <f>IF(AF12&gt;0,AG12/AF12,0)</f>
        <v>0.80645161290322576</v>
      </c>
      <c r="AI12" s="28">
        <f>COUNTIFS($N$16:$N$126,"Security Match",$X$16:$X$126,TRUE)</f>
        <v>24</v>
      </c>
      <c r="AJ12" s="29">
        <f>IF(AF12&gt;0,AI12/AF12,0)</f>
        <v>0.77419354838709675</v>
      </c>
    </row>
    <row r="13" spans="1:46">
      <c r="AE13" s="27" t="s">
        <v>985</v>
      </c>
      <c r="AF13" s="30">
        <f>SUM(AF11:AF12,AF14)</f>
        <v>95</v>
      </c>
      <c r="AG13" s="30">
        <f>SUM(AG11:AG12,AG14)</f>
        <v>75</v>
      </c>
      <c r="AH13" s="31">
        <f>IF(AF13&gt;0,AG13/AF13,0)</f>
        <v>0.78947368421052633</v>
      </c>
      <c r="AI13" s="30">
        <f>SUM(AI11:AI12,AI14)</f>
        <v>59</v>
      </c>
      <c r="AJ13" s="31">
        <f>IF(AF13&gt;0,AI13/AF13,0)</f>
        <v>0.62105263157894741</v>
      </c>
    </row>
    <row r="14" spans="1:46">
      <c r="AE14" s="26" t="s">
        <v>49</v>
      </c>
      <c r="AF14" s="28">
        <f>COUNTIF($N$16:$N$126,"Company Knowledge Match")</f>
        <v>15</v>
      </c>
      <c r="AG14" s="28">
        <f>COUNTIFS($N$16:$N$110,"Company Knowledge Match",$S$16:$S$110,TRUE)</f>
        <v>5</v>
      </c>
      <c r="AH14" s="29">
        <f>IF(AF14&gt;0,AG14/AF14,0)</f>
        <v>0.33333333333333331</v>
      </c>
      <c r="AI14" s="28">
        <f>COUNTIFS($N$16:$N$126,"Company Knowledge Match",$X$16:$X$126,TRUE)</f>
        <v>3</v>
      </c>
      <c r="AJ14" s="29">
        <f>IF(AF14&gt;0,AI14/AF14,0)</f>
        <v>0.2</v>
      </c>
    </row>
    <row r="15" spans="1:46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9" t="s">
        <v>698</v>
      </c>
      <c r="Q15" s="20" t="s">
        <v>878</v>
      </c>
      <c r="R15" s="20" t="s">
        <v>879</v>
      </c>
      <c r="S15" s="20" t="s">
        <v>880</v>
      </c>
      <c r="T15" s="20" t="s">
        <v>882</v>
      </c>
      <c r="U15" s="20" t="s">
        <v>883</v>
      </c>
      <c r="V15" s="20" t="s">
        <v>1104</v>
      </c>
      <c r="W15" s="20" t="s">
        <v>1105</v>
      </c>
      <c r="X15" s="20" t="s">
        <v>1106</v>
      </c>
      <c r="Y15" s="20" t="s">
        <v>1107</v>
      </c>
      <c r="Z15" s="20" t="s">
        <v>1108</v>
      </c>
      <c r="AA15" s="20" t="s">
        <v>1109</v>
      </c>
      <c r="AB15" s="20" t="s">
        <v>1110</v>
      </c>
      <c r="AC15" s="20" t="s">
        <v>1111</v>
      </c>
      <c r="AD15" s="20" t="s">
        <v>705</v>
      </c>
    </row>
    <row r="16" spans="1:4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16</v>
      </c>
      <c r="G16" t="s">
        <v>21</v>
      </c>
      <c r="H16" t="s">
        <v>22</v>
      </c>
      <c r="L16" t="s">
        <v>23</v>
      </c>
      <c r="M16" t="s">
        <v>24</v>
      </c>
      <c r="N16" t="s">
        <v>25</v>
      </c>
      <c r="P16" s="11" t="s">
        <v>16</v>
      </c>
      <c r="Q16" s="12" t="s">
        <v>17</v>
      </c>
      <c r="R16" s="12" t="s">
        <v>884</v>
      </c>
      <c r="S16" s="12" t="b">
        <v>0</v>
      </c>
      <c r="T16" s="12" t="b">
        <v>1</v>
      </c>
      <c r="U16" s="12">
        <v>3</v>
      </c>
      <c r="V16" s="12" t="s">
        <v>18</v>
      </c>
      <c r="W16" s="12" t="s">
        <v>1113</v>
      </c>
      <c r="X16" s="12" t="b">
        <v>0</v>
      </c>
      <c r="Y16" s="12" t="b">
        <v>0</v>
      </c>
      <c r="Z16" s="12">
        <v>10</v>
      </c>
      <c r="AA16" s="12">
        <v>1.1443000000000001</v>
      </c>
      <c r="AB16" s="12" t="s">
        <v>1341</v>
      </c>
      <c r="AC16" s="12" t="s">
        <v>1115</v>
      </c>
      <c r="AD16" s="13" t="b">
        <v>1</v>
      </c>
    </row>
    <row r="17" spans="1:38">
      <c r="A17" t="s">
        <v>26</v>
      </c>
      <c r="B17" t="s">
        <v>27</v>
      </c>
      <c r="C17" t="s">
        <v>28</v>
      </c>
      <c r="D17" t="s">
        <v>19</v>
      </c>
      <c r="E17" t="s">
        <v>20</v>
      </c>
      <c r="F17" t="s">
        <v>29</v>
      </c>
      <c r="G17" t="s">
        <v>30</v>
      </c>
      <c r="L17" t="s">
        <v>23</v>
      </c>
      <c r="M17" t="s">
        <v>24</v>
      </c>
      <c r="N17" t="s">
        <v>31</v>
      </c>
      <c r="P17" s="11" t="s">
        <v>29</v>
      </c>
      <c r="Q17" s="12" t="s">
        <v>27</v>
      </c>
      <c r="R17" s="12" t="s">
        <v>27</v>
      </c>
      <c r="S17" s="12" t="b">
        <v>1</v>
      </c>
      <c r="T17" s="12" t="b">
        <v>1</v>
      </c>
      <c r="U17" s="12">
        <v>1</v>
      </c>
      <c r="V17" s="12" t="s">
        <v>28</v>
      </c>
      <c r="W17" s="12" t="s">
        <v>181</v>
      </c>
      <c r="X17" s="12" t="b">
        <v>0</v>
      </c>
      <c r="Y17" s="12" t="b">
        <v>1</v>
      </c>
      <c r="Z17" s="12">
        <v>2</v>
      </c>
      <c r="AA17" s="12">
        <v>0.94099999999999995</v>
      </c>
      <c r="AB17" s="12" t="s">
        <v>1342</v>
      </c>
      <c r="AC17" s="12" t="s">
        <v>1343</v>
      </c>
      <c r="AD17" s="13" t="b">
        <v>1</v>
      </c>
    </row>
    <row r="18" spans="1:38">
      <c r="A18" t="s">
        <v>32</v>
      </c>
      <c r="B18" t="s">
        <v>33</v>
      </c>
      <c r="C18" t="s">
        <v>34</v>
      </c>
      <c r="D18" t="s">
        <v>19</v>
      </c>
      <c r="E18" t="s">
        <v>20</v>
      </c>
      <c r="F18" t="s">
        <v>32</v>
      </c>
      <c r="G18" t="s">
        <v>35</v>
      </c>
      <c r="H18" t="s">
        <v>22</v>
      </c>
      <c r="I18" t="s">
        <v>36</v>
      </c>
      <c r="L18" t="s">
        <v>23</v>
      </c>
      <c r="M18" t="s">
        <v>24</v>
      </c>
      <c r="N18" t="s">
        <v>31</v>
      </c>
      <c r="P18" s="11" t="s">
        <v>32</v>
      </c>
      <c r="Q18" s="12" t="s">
        <v>33</v>
      </c>
      <c r="R18" s="12" t="s">
        <v>33</v>
      </c>
      <c r="S18" s="12" t="b">
        <v>1</v>
      </c>
      <c r="T18" s="12" t="b">
        <v>1</v>
      </c>
      <c r="U18" s="12">
        <v>1</v>
      </c>
      <c r="V18" s="12" t="s">
        <v>34</v>
      </c>
      <c r="W18" s="12" t="s">
        <v>34</v>
      </c>
      <c r="X18" s="12" t="b">
        <v>1</v>
      </c>
      <c r="Y18" s="12" t="b">
        <v>1</v>
      </c>
      <c r="Z18" s="12">
        <v>1</v>
      </c>
      <c r="AA18" s="12">
        <v>1.0841000000000001</v>
      </c>
      <c r="AB18" s="12" t="s">
        <v>33</v>
      </c>
      <c r="AC18" s="12" t="s">
        <v>1119</v>
      </c>
      <c r="AD18" s="13" t="b">
        <v>1</v>
      </c>
      <c r="AL18" t="s">
        <v>1132</v>
      </c>
    </row>
    <row r="19" spans="1:38">
      <c r="A19" t="s">
        <v>37</v>
      </c>
      <c r="B19" t="s">
        <v>38</v>
      </c>
      <c r="C19" t="s">
        <v>39</v>
      </c>
      <c r="D19" t="s">
        <v>19</v>
      </c>
      <c r="E19" t="s">
        <v>20</v>
      </c>
      <c r="F19" t="s">
        <v>37</v>
      </c>
      <c r="G19" t="s">
        <v>40</v>
      </c>
      <c r="H19" t="s">
        <v>22</v>
      </c>
      <c r="L19" t="s">
        <v>23</v>
      </c>
      <c r="M19" t="s">
        <v>24</v>
      </c>
      <c r="N19" t="s">
        <v>31</v>
      </c>
      <c r="P19" s="11" t="s">
        <v>37</v>
      </c>
      <c r="Q19" s="12" t="s">
        <v>38</v>
      </c>
      <c r="R19" s="12" t="s">
        <v>1010</v>
      </c>
      <c r="S19" s="12" t="b">
        <v>0</v>
      </c>
      <c r="T19" s="12" t="b">
        <v>1</v>
      </c>
      <c r="U19" s="12">
        <v>2</v>
      </c>
      <c r="V19" s="12" t="s">
        <v>39</v>
      </c>
      <c r="W19" s="12" t="s">
        <v>39</v>
      </c>
      <c r="X19" s="12" t="b">
        <v>1</v>
      </c>
      <c r="Y19" s="12" t="b">
        <v>1</v>
      </c>
      <c r="Z19" s="12">
        <v>1</v>
      </c>
      <c r="AA19" s="12">
        <v>0.90910000000000002</v>
      </c>
      <c r="AB19" s="12" t="s">
        <v>1344</v>
      </c>
      <c r="AC19" s="12" t="s">
        <v>1345</v>
      </c>
      <c r="AD19" s="13" t="b">
        <v>1</v>
      </c>
    </row>
    <row r="20" spans="1:38">
      <c r="A20" t="s">
        <v>41</v>
      </c>
      <c r="B20" t="s">
        <v>42</v>
      </c>
      <c r="C20" t="s">
        <v>43</v>
      </c>
      <c r="D20" t="s">
        <v>44</v>
      </c>
      <c r="E20" t="s">
        <v>20</v>
      </c>
      <c r="F20" t="s">
        <v>45</v>
      </c>
      <c r="G20" t="s">
        <v>46</v>
      </c>
      <c r="H20" t="s">
        <v>47</v>
      </c>
      <c r="I20" t="s">
        <v>48</v>
      </c>
      <c r="L20" t="s">
        <v>23</v>
      </c>
      <c r="M20" t="s">
        <v>24</v>
      </c>
      <c r="N20" t="s">
        <v>49</v>
      </c>
      <c r="P20" s="11" t="s">
        <v>45</v>
      </c>
      <c r="Q20" s="12" t="s">
        <v>42</v>
      </c>
      <c r="R20" s="12" t="s">
        <v>42</v>
      </c>
      <c r="S20" s="12" t="b">
        <v>1</v>
      </c>
      <c r="T20" s="12" t="b">
        <v>1</v>
      </c>
      <c r="U20" s="12">
        <v>1</v>
      </c>
      <c r="V20" s="12" t="s">
        <v>43</v>
      </c>
      <c r="W20" s="12" t="s">
        <v>43</v>
      </c>
      <c r="X20" s="12" t="b">
        <v>1</v>
      </c>
      <c r="Y20" s="12" t="b">
        <v>1</v>
      </c>
      <c r="Z20" s="12">
        <v>1</v>
      </c>
      <c r="AA20" s="12">
        <v>0.80279999999999996</v>
      </c>
      <c r="AB20" s="12" t="s">
        <v>1346</v>
      </c>
      <c r="AC20" s="12" t="s">
        <v>1347</v>
      </c>
      <c r="AD20" s="13" t="b">
        <v>1</v>
      </c>
    </row>
    <row r="21" spans="1:38">
      <c r="A21" t="s">
        <v>41</v>
      </c>
      <c r="B21" t="s">
        <v>42</v>
      </c>
      <c r="C21" t="s">
        <v>50</v>
      </c>
      <c r="D21" t="s">
        <v>19</v>
      </c>
      <c r="E21" t="s">
        <v>20</v>
      </c>
      <c r="F21" t="s">
        <v>45</v>
      </c>
      <c r="G21" t="s">
        <v>51</v>
      </c>
      <c r="H21" t="s">
        <v>22</v>
      </c>
      <c r="I21" t="s">
        <v>52</v>
      </c>
      <c r="L21" t="s">
        <v>23</v>
      </c>
      <c r="M21" t="s">
        <v>24</v>
      </c>
      <c r="N21" t="s">
        <v>49</v>
      </c>
      <c r="P21" s="11" t="s">
        <v>45</v>
      </c>
      <c r="Q21" s="12" t="s">
        <v>42</v>
      </c>
      <c r="R21" s="12" t="s">
        <v>42</v>
      </c>
      <c r="S21" s="12" t="b">
        <v>1</v>
      </c>
      <c r="T21" s="12" t="b">
        <v>1</v>
      </c>
      <c r="U21" s="12">
        <v>1</v>
      </c>
      <c r="V21" s="12" t="s">
        <v>50</v>
      </c>
      <c r="W21" s="12" t="s">
        <v>43</v>
      </c>
      <c r="X21" s="12" t="b">
        <v>0</v>
      </c>
      <c r="Y21" s="12" t="b">
        <v>1</v>
      </c>
      <c r="Z21" s="12">
        <v>2</v>
      </c>
      <c r="AA21" s="12">
        <v>1.1028</v>
      </c>
      <c r="AB21" s="12" t="s">
        <v>1348</v>
      </c>
      <c r="AC21" s="12" t="s">
        <v>1349</v>
      </c>
      <c r="AD21" s="13" t="b">
        <v>1</v>
      </c>
    </row>
    <row r="22" spans="1:38">
      <c r="A22" t="s">
        <v>53</v>
      </c>
      <c r="B22" t="s">
        <v>54</v>
      </c>
      <c r="C22" t="s">
        <v>55</v>
      </c>
      <c r="D22" t="s">
        <v>19</v>
      </c>
      <c r="E22" t="s">
        <v>20</v>
      </c>
      <c r="F22" t="s">
        <v>53</v>
      </c>
      <c r="G22" t="s">
        <v>56</v>
      </c>
      <c r="H22" t="s">
        <v>22</v>
      </c>
      <c r="I22" t="s">
        <v>57</v>
      </c>
      <c r="L22" t="s">
        <v>23</v>
      </c>
      <c r="M22" t="s">
        <v>24</v>
      </c>
      <c r="N22" t="s">
        <v>25</v>
      </c>
      <c r="P22" s="11" t="s">
        <v>53</v>
      </c>
      <c r="Q22" s="12" t="s">
        <v>54</v>
      </c>
      <c r="R22" s="12" t="s">
        <v>54</v>
      </c>
      <c r="S22" s="12" t="b">
        <v>1</v>
      </c>
      <c r="T22" s="12" t="b">
        <v>1</v>
      </c>
      <c r="U22" s="12">
        <v>1</v>
      </c>
      <c r="V22" s="12" t="s">
        <v>55</v>
      </c>
      <c r="W22" s="12" t="s">
        <v>55</v>
      </c>
      <c r="X22" s="12" t="b">
        <v>1</v>
      </c>
      <c r="Y22" s="12" t="b">
        <v>1</v>
      </c>
      <c r="Z22" s="12">
        <v>1</v>
      </c>
      <c r="AA22" s="12">
        <v>1.1900999999999999</v>
      </c>
      <c r="AB22" s="12" t="s">
        <v>54</v>
      </c>
      <c r="AC22" s="12" t="s">
        <v>1131</v>
      </c>
      <c r="AD22" s="13" t="b">
        <v>1</v>
      </c>
    </row>
    <row r="23" spans="1:38">
      <c r="A23" t="s">
        <v>58</v>
      </c>
      <c r="B23" t="s">
        <v>59</v>
      </c>
      <c r="C23" t="s">
        <v>60</v>
      </c>
      <c r="D23" t="s">
        <v>44</v>
      </c>
      <c r="E23" t="s">
        <v>20</v>
      </c>
      <c r="F23" t="s">
        <v>1132</v>
      </c>
      <c r="G23" t="s">
        <v>62</v>
      </c>
      <c r="H23" t="s">
        <v>47</v>
      </c>
      <c r="L23" t="s">
        <v>23</v>
      </c>
      <c r="M23" t="s">
        <v>24</v>
      </c>
      <c r="N23" t="s">
        <v>25</v>
      </c>
      <c r="P23" s="11" t="s">
        <v>61</v>
      </c>
      <c r="Q23" s="12" t="s">
        <v>59</v>
      </c>
      <c r="R23" s="12" t="s">
        <v>59</v>
      </c>
      <c r="S23" s="12" t="b">
        <v>1</v>
      </c>
      <c r="T23" s="12" t="b">
        <v>1</v>
      </c>
      <c r="U23" s="12">
        <v>1</v>
      </c>
      <c r="V23" s="12" t="s">
        <v>60</v>
      </c>
      <c r="W23" s="12" t="s">
        <v>60</v>
      </c>
      <c r="X23" s="12" t="b">
        <v>1</v>
      </c>
      <c r="Y23" s="12" t="b">
        <v>1</v>
      </c>
      <c r="Z23" s="12">
        <v>1</v>
      </c>
      <c r="AA23" s="12">
        <v>0.9778</v>
      </c>
      <c r="AB23" s="12" t="s">
        <v>1350</v>
      </c>
      <c r="AC23" s="12" t="s">
        <v>615</v>
      </c>
      <c r="AD23" s="13" t="b">
        <v>1</v>
      </c>
    </row>
    <row r="24" spans="1:38">
      <c r="A24" t="s">
        <v>63</v>
      </c>
      <c r="B24" t="s">
        <v>64</v>
      </c>
      <c r="C24" t="s">
        <v>65</v>
      </c>
      <c r="D24" t="s">
        <v>19</v>
      </c>
      <c r="E24" t="s">
        <v>20</v>
      </c>
      <c r="F24" t="s">
        <v>66</v>
      </c>
      <c r="G24" t="s">
        <v>67</v>
      </c>
      <c r="H24" t="s">
        <v>22</v>
      </c>
      <c r="L24" t="s">
        <v>23</v>
      </c>
      <c r="M24" t="s">
        <v>24</v>
      </c>
      <c r="N24" t="s">
        <v>31</v>
      </c>
      <c r="P24" s="11" t="s">
        <v>66</v>
      </c>
      <c r="Q24" s="12" t="s">
        <v>64</v>
      </c>
      <c r="R24" s="12" t="s">
        <v>64</v>
      </c>
      <c r="S24" s="12" t="b">
        <v>1</v>
      </c>
      <c r="T24" s="12" t="b">
        <v>1</v>
      </c>
      <c r="U24" s="12">
        <v>1</v>
      </c>
      <c r="V24" s="12" t="s">
        <v>65</v>
      </c>
      <c r="W24" s="12" t="s">
        <v>65</v>
      </c>
      <c r="X24" s="12" t="b">
        <v>1</v>
      </c>
      <c r="Y24" s="12" t="b">
        <v>1</v>
      </c>
      <c r="Z24" s="12">
        <v>1</v>
      </c>
      <c r="AA24" s="12">
        <v>1.2</v>
      </c>
      <c r="AB24" s="12" t="s">
        <v>64</v>
      </c>
      <c r="AC24" s="12" t="s">
        <v>1137</v>
      </c>
      <c r="AD24" s="13" t="b">
        <v>1</v>
      </c>
    </row>
    <row r="25" spans="1:38">
      <c r="A25" t="s">
        <v>68</v>
      </c>
      <c r="B25" t="s">
        <v>69</v>
      </c>
      <c r="C25" t="s">
        <v>70</v>
      </c>
      <c r="D25" t="s">
        <v>19</v>
      </c>
      <c r="E25" t="s">
        <v>20</v>
      </c>
      <c r="F25" t="s">
        <v>71</v>
      </c>
      <c r="G25" t="s">
        <v>72</v>
      </c>
      <c r="H25" t="s">
        <v>22</v>
      </c>
      <c r="I25" t="s">
        <v>73</v>
      </c>
      <c r="L25" t="s">
        <v>23</v>
      </c>
      <c r="M25" t="s">
        <v>24</v>
      </c>
      <c r="N25" t="s">
        <v>25</v>
      </c>
      <c r="P25" s="11" t="s">
        <v>71</v>
      </c>
      <c r="Q25" s="12" t="s">
        <v>69</v>
      </c>
      <c r="R25" s="12" t="s">
        <v>69</v>
      </c>
      <c r="S25" s="12" t="b">
        <v>1</v>
      </c>
      <c r="T25" s="12" t="b">
        <v>1</v>
      </c>
      <c r="U25" s="12">
        <v>1</v>
      </c>
      <c r="V25" s="12" t="s">
        <v>70</v>
      </c>
      <c r="W25" s="12" t="s">
        <v>70</v>
      </c>
      <c r="X25" s="12" t="b">
        <v>1</v>
      </c>
      <c r="Y25" s="12" t="b">
        <v>1</v>
      </c>
      <c r="Z25" s="12">
        <v>1</v>
      </c>
      <c r="AA25" s="12">
        <v>1.1853</v>
      </c>
      <c r="AB25" s="12" t="s">
        <v>1294</v>
      </c>
      <c r="AC25" s="12" t="s">
        <v>1351</v>
      </c>
      <c r="AD25" s="13" t="b">
        <v>1</v>
      </c>
    </row>
    <row r="26" spans="1:38">
      <c r="A26" t="s">
        <v>68</v>
      </c>
      <c r="B26" t="s">
        <v>69</v>
      </c>
      <c r="C26" t="s">
        <v>70</v>
      </c>
      <c r="D26" t="s">
        <v>19</v>
      </c>
      <c r="E26" t="s">
        <v>20</v>
      </c>
      <c r="F26" t="s">
        <v>74</v>
      </c>
      <c r="G26" t="s">
        <v>75</v>
      </c>
      <c r="H26" t="s">
        <v>22</v>
      </c>
      <c r="I26" t="s">
        <v>73</v>
      </c>
      <c r="L26" t="s">
        <v>23</v>
      </c>
      <c r="M26" t="s">
        <v>24</v>
      </c>
      <c r="N26" t="s">
        <v>31</v>
      </c>
      <c r="P26" s="11" t="s">
        <v>74</v>
      </c>
      <c r="Q26" s="12" t="s">
        <v>69</v>
      </c>
      <c r="R26" s="12" t="s">
        <v>69</v>
      </c>
      <c r="S26" s="12" t="b">
        <v>1</v>
      </c>
      <c r="T26" s="12" t="b">
        <v>1</v>
      </c>
      <c r="U26" s="12">
        <v>1</v>
      </c>
      <c r="V26" s="12" t="s">
        <v>70</v>
      </c>
      <c r="W26" s="12" t="s">
        <v>70</v>
      </c>
      <c r="X26" s="12" t="b">
        <v>1</v>
      </c>
      <c r="Y26" s="12" t="b">
        <v>1</v>
      </c>
      <c r="Z26" s="12">
        <v>1</v>
      </c>
      <c r="AA26" s="12">
        <v>1.0499000000000001</v>
      </c>
      <c r="AB26" s="12" t="s">
        <v>1352</v>
      </c>
      <c r="AC26" s="12" t="s">
        <v>1353</v>
      </c>
      <c r="AD26" s="13" t="b">
        <v>1</v>
      </c>
    </row>
    <row r="27" spans="1:38">
      <c r="A27" t="s">
        <v>76</v>
      </c>
      <c r="B27" t="s">
        <v>77</v>
      </c>
      <c r="C27" t="s">
        <v>78</v>
      </c>
      <c r="D27" t="s">
        <v>79</v>
      </c>
      <c r="E27" t="s">
        <v>20</v>
      </c>
      <c r="F27" t="s">
        <v>80</v>
      </c>
      <c r="G27" t="s">
        <v>81</v>
      </c>
      <c r="H27" t="s">
        <v>82</v>
      </c>
      <c r="L27" t="s">
        <v>23</v>
      </c>
      <c r="M27" t="s">
        <v>24</v>
      </c>
      <c r="N27" t="s">
        <v>31</v>
      </c>
      <c r="P27" s="11" t="s">
        <v>80</v>
      </c>
      <c r="Q27" s="12" t="s">
        <v>77</v>
      </c>
      <c r="R27" s="12" t="s">
        <v>77</v>
      </c>
      <c r="S27" s="12" t="b">
        <v>1</v>
      </c>
      <c r="T27" s="12" t="b">
        <v>1</v>
      </c>
      <c r="U27" s="12">
        <v>1</v>
      </c>
      <c r="V27" s="12" t="s">
        <v>78</v>
      </c>
      <c r="W27" s="12" t="s">
        <v>1143</v>
      </c>
      <c r="X27" s="12" t="b">
        <v>0</v>
      </c>
      <c r="Y27" s="12" t="b">
        <v>0</v>
      </c>
      <c r="Z27" s="12">
        <v>7</v>
      </c>
      <c r="AA27" s="12">
        <v>1</v>
      </c>
      <c r="AB27" s="12" t="s">
        <v>77</v>
      </c>
      <c r="AC27" s="12" t="s">
        <v>1145</v>
      </c>
      <c r="AD27" s="13" t="b">
        <v>1</v>
      </c>
    </row>
    <row r="28" spans="1:38">
      <c r="A28" t="s">
        <v>83</v>
      </c>
      <c r="B28" t="s">
        <v>84</v>
      </c>
      <c r="C28" t="s">
        <v>85</v>
      </c>
      <c r="D28" t="s">
        <v>79</v>
      </c>
      <c r="E28" t="s">
        <v>20</v>
      </c>
      <c r="F28" t="s">
        <v>86</v>
      </c>
      <c r="G28" t="s">
        <v>87</v>
      </c>
      <c r="H28" t="s">
        <v>82</v>
      </c>
      <c r="L28" t="s">
        <v>23</v>
      </c>
      <c r="M28" t="s">
        <v>24</v>
      </c>
      <c r="N28" t="s">
        <v>25</v>
      </c>
      <c r="P28" s="11" t="s">
        <v>86</v>
      </c>
      <c r="Q28" s="12" t="s">
        <v>84</v>
      </c>
      <c r="R28" s="12" t="s">
        <v>84</v>
      </c>
      <c r="S28" s="12" t="b">
        <v>1</v>
      </c>
      <c r="T28" s="12" t="b">
        <v>1</v>
      </c>
      <c r="U28" s="12">
        <v>1</v>
      </c>
      <c r="V28" s="12" t="s">
        <v>85</v>
      </c>
      <c r="W28" s="12" t="s">
        <v>139</v>
      </c>
      <c r="X28" s="12" t="b">
        <v>0</v>
      </c>
      <c r="Y28" s="12" t="b">
        <v>1</v>
      </c>
      <c r="Z28" s="12">
        <v>4</v>
      </c>
      <c r="AA28" s="12">
        <v>0.90480000000000005</v>
      </c>
      <c r="AB28" s="12" t="s">
        <v>84</v>
      </c>
      <c r="AC28" s="12" t="s">
        <v>1148</v>
      </c>
      <c r="AD28" s="13" t="b">
        <v>1</v>
      </c>
    </row>
    <row r="29" spans="1:38">
      <c r="A29" t="s">
        <v>88</v>
      </c>
      <c r="B29" t="s">
        <v>89</v>
      </c>
      <c r="C29" t="s">
        <v>90</v>
      </c>
      <c r="D29" t="s">
        <v>19</v>
      </c>
      <c r="E29" t="s">
        <v>20</v>
      </c>
      <c r="F29" t="s">
        <v>91</v>
      </c>
      <c r="G29" t="s">
        <v>92</v>
      </c>
      <c r="H29" t="s">
        <v>22</v>
      </c>
      <c r="I29" t="s">
        <v>93</v>
      </c>
      <c r="L29" t="s">
        <v>23</v>
      </c>
      <c r="M29" t="s">
        <v>24</v>
      </c>
      <c r="N29" t="s">
        <v>31</v>
      </c>
      <c r="P29" s="11" t="s">
        <v>91</v>
      </c>
      <c r="Q29" s="12" t="s">
        <v>89</v>
      </c>
      <c r="R29" s="12" t="s">
        <v>89</v>
      </c>
      <c r="S29" s="12" t="b">
        <v>1</v>
      </c>
      <c r="T29" s="12" t="b">
        <v>1</v>
      </c>
      <c r="U29" s="12">
        <v>1</v>
      </c>
      <c r="V29" s="12" t="s">
        <v>90</v>
      </c>
      <c r="W29" s="12" t="s">
        <v>90</v>
      </c>
      <c r="X29" s="12" t="b">
        <v>1</v>
      </c>
      <c r="Y29" s="12" t="b">
        <v>1</v>
      </c>
      <c r="Z29" s="12">
        <v>1</v>
      </c>
      <c r="AA29" s="12">
        <v>1.2</v>
      </c>
      <c r="AB29" s="12" t="s">
        <v>994</v>
      </c>
      <c r="AC29" s="12" t="s">
        <v>1354</v>
      </c>
      <c r="AD29" s="13" t="b">
        <v>1</v>
      </c>
    </row>
    <row r="30" spans="1:38">
      <c r="A30" t="s">
        <v>94</v>
      </c>
      <c r="B30" t="s">
        <v>95</v>
      </c>
      <c r="C30" t="s">
        <v>96</v>
      </c>
      <c r="D30" t="s">
        <v>44</v>
      </c>
      <c r="E30" t="s">
        <v>20</v>
      </c>
      <c r="F30" t="s">
        <v>94</v>
      </c>
      <c r="G30" t="s">
        <v>97</v>
      </c>
      <c r="H30" t="s">
        <v>47</v>
      </c>
      <c r="I30" t="s">
        <v>98</v>
      </c>
      <c r="L30" t="s">
        <v>23</v>
      </c>
      <c r="M30" t="s">
        <v>24</v>
      </c>
      <c r="N30" t="s">
        <v>25</v>
      </c>
      <c r="P30" s="11" t="s">
        <v>94</v>
      </c>
      <c r="Q30" s="12" t="s">
        <v>95</v>
      </c>
      <c r="R30" s="12" t="s">
        <v>95</v>
      </c>
      <c r="S30" s="12" t="b">
        <v>1</v>
      </c>
      <c r="T30" s="12" t="b">
        <v>1</v>
      </c>
      <c r="U30" s="12">
        <v>1</v>
      </c>
      <c r="V30" s="12" t="s">
        <v>96</v>
      </c>
      <c r="W30" s="12" t="s">
        <v>96</v>
      </c>
      <c r="X30" s="12" t="b">
        <v>1</v>
      </c>
      <c r="Y30" s="12" t="b">
        <v>1</v>
      </c>
      <c r="Z30" s="12">
        <v>1</v>
      </c>
      <c r="AA30" s="12">
        <v>1.2155</v>
      </c>
      <c r="AB30" s="12" t="s">
        <v>95</v>
      </c>
      <c r="AC30" s="12" t="s">
        <v>1154</v>
      </c>
      <c r="AD30" s="13" t="b">
        <v>1</v>
      </c>
    </row>
    <row r="31" spans="1:38">
      <c r="A31" t="s">
        <v>99</v>
      </c>
      <c r="B31" t="s">
        <v>100</v>
      </c>
      <c r="C31" t="s">
        <v>101</v>
      </c>
      <c r="D31" t="s">
        <v>44</v>
      </c>
      <c r="E31" t="s">
        <v>20</v>
      </c>
      <c r="F31" t="s">
        <v>102</v>
      </c>
      <c r="G31" t="s">
        <v>103</v>
      </c>
      <c r="H31" t="s">
        <v>47</v>
      </c>
      <c r="I31" t="s">
        <v>104</v>
      </c>
      <c r="L31" t="s">
        <v>23</v>
      </c>
      <c r="M31" t="s">
        <v>24</v>
      </c>
      <c r="N31" t="s">
        <v>31</v>
      </c>
      <c r="P31" s="11" t="s">
        <v>102</v>
      </c>
      <c r="Q31" s="12" t="s">
        <v>100</v>
      </c>
      <c r="R31" s="12" t="s">
        <v>100</v>
      </c>
      <c r="S31" s="12" t="b">
        <v>1</v>
      </c>
      <c r="T31" s="12" t="b">
        <v>1</v>
      </c>
      <c r="U31" s="12">
        <v>1</v>
      </c>
      <c r="V31" s="12" t="s">
        <v>101</v>
      </c>
      <c r="W31" s="12" t="s">
        <v>101</v>
      </c>
      <c r="X31" s="12" t="b">
        <v>1</v>
      </c>
      <c r="Y31" s="12" t="b">
        <v>1</v>
      </c>
      <c r="Z31" s="12">
        <v>1</v>
      </c>
      <c r="AA31" s="12">
        <v>1</v>
      </c>
      <c r="AB31" s="12" t="s">
        <v>1355</v>
      </c>
      <c r="AC31" s="12" t="s">
        <v>1356</v>
      </c>
      <c r="AD31" s="13" t="b">
        <v>1</v>
      </c>
    </row>
    <row r="32" spans="1:38">
      <c r="A32" t="s">
        <v>105</v>
      </c>
      <c r="B32" t="s">
        <v>106</v>
      </c>
      <c r="C32" t="s">
        <v>107</v>
      </c>
      <c r="D32" t="s">
        <v>19</v>
      </c>
      <c r="E32" t="s">
        <v>20</v>
      </c>
      <c r="F32" t="s">
        <v>108</v>
      </c>
      <c r="G32" t="s">
        <v>109</v>
      </c>
      <c r="H32" t="s">
        <v>22</v>
      </c>
      <c r="I32" t="s">
        <v>110</v>
      </c>
      <c r="L32" t="s">
        <v>23</v>
      </c>
      <c r="M32" t="s">
        <v>24</v>
      </c>
      <c r="N32" t="s">
        <v>25</v>
      </c>
      <c r="P32" s="11" t="s">
        <v>108</v>
      </c>
      <c r="Q32" s="12" t="s">
        <v>106</v>
      </c>
      <c r="R32" s="12" t="s">
        <v>106</v>
      </c>
      <c r="S32" s="12" t="b">
        <v>1</v>
      </c>
      <c r="T32" s="12" t="b">
        <v>1</v>
      </c>
      <c r="U32" s="12">
        <v>1</v>
      </c>
      <c r="V32" s="12" t="s">
        <v>107</v>
      </c>
      <c r="W32" s="12" t="s">
        <v>107</v>
      </c>
      <c r="X32" s="12" t="b">
        <v>1</v>
      </c>
      <c r="Y32" s="12" t="b">
        <v>1</v>
      </c>
      <c r="Z32" s="12">
        <v>1</v>
      </c>
      <c r="AA32" s="12">
        <v>1.1097999999999999</v>
      </c>
      <c r="AB32" s="12" t="s">
        <v>106</v>
      </c>
      <c r="AC32" s="12" t="s">
        <v>1160</v>
      </c>
      <c r="AD32" s="13" t="b">
        <v>1</v>
      </c>
    </row>
    <row r="33" spans="1:30">
      <c r="A33" t="s">
        <v>111</v>
      </c>
      <c r="B33" t="s">
        <v>112</v>
      </c>
      <c r="C33" t="s">
        <v>113</v>
      </c>
      <c r="D33" t="s">
        <v>19</v>
      </c>
      <c r="E33" t="s">
        <v>20</v>
      </c>
      <c r="F33" t="s">
        <v>111</v>
      </c>
      <c r="G33" t="s">
        <v>114</v>
      </c>
      <c r="H33" t="s">
        <v>22</v>
      </c>
      <c r="L33" t="s">
        <v>23</v>
      </c>
      <c r="M33" t="s">
        <v>24</v>
      </c>
      <c r="N33" t="s">
        <v>25</v>
      </c>
      <c r="P33" s="11" t="s">
        <v>111</v>
      </c>
      <c r="Q33" s="12" t="s">
        <v>112</v>
      </c>
      <c r="R33" s="12" t="s">
        <v>112</v>
      </c>
      <c r="S33" s="12" t="b">
        <v>1</v>
      </c>
      <c r="T33" s="12" t="b">
        <v>1</v>
      </c>
      <c r="U33" s="12">
        <v>1</v>
      </c>
      <c r="V33" s="12" t="s">
        <v>113</v>
      </c>
      <c r="W33" s="12" t="s">
        <v>113</v>
      </c>
      <c r="X33" s="12" t="b">
        <v>1</v>
      </c>
      <c r="Y33" s="12" t="b">
        <v>1</v>
      </c>
      <c r="Z33" s="12">
        <v>1</v>
      </c>
      <c r="AA33" s="12">
        <v>0.99399999999999999</v>
      </c>
      <c r="AB33" s="12" t="s">
        <v>1357</v>
      </c>
      <c r="AC33" s="12" t="s">
        <v>1358</v>
      </c>
      <c r="AD33" s="13" t="b">
        <v>1</v>
      </c>
    </row>
    <row r="34" spans="1:30">
      <c r="A34" t="s">
        <v>115</v>
      </c>
      <c r="B34" t="s">
        <v>116</v>
      </c>
      <c r="C34" t="s">
        <v>117</v>
      </c>
      <c r="D34" t="s">
        <v>19</v>
      </c>
      <c r="E34" t="s">
        <v>20</v>
      </c>
      <c r="F34" t="s">
        <v>118</v>
      </c>
      <c r="G34" t="s">
        <v>119</v>
      </c>
      <c r="H34" t="s">
        <v>22</v>
      </c>
      <c r="I34" t="s">
        <v>120</v>
      </c>
      <c r="L34" t="s">
        <v>23</v>
      </c>
      <c r="M34" t="s">
        <v>24</v>
      </c>
      <c r="N34" t="s">
        <v>25</v>
      </c>
      <c r="P34" s="11" t="s">
        <v>118</v>
      </c>
      <c r="Q34" s="12" t="s">
        <v>116</v>
      </c>
      <c r="R34" s="12" t="s">
        <v>116</v>
      </c>
      <c r="S34" s="12" t="b">
        <v>1</v>
      </c>
      <c r="T34" s="12" t="b">
        <v>1</v>
      </c>
      <c r="U34" s="12">
        <v>1</v>
      </c>
      <c r="V34" s="12" t="s">
        <v>117</v>
      </c>
      <c r="W34" s="12" t="s">
        <v>117</v>
      </c>
      <c r="X34" s="12" t="b">
        <v>1</v>
      </c>
      <c r="Y34" s="12" t="b">
        <v>1</v>
      </c>
      <c r="Z34" s="12">
        <v>1</v>
      </c>
      <c r="AA34" s="12">
        <v>1.0891</v>
      </c>
      <c r="AB34" s="12" t="s">
        <v>116</v>
      </c>
      <c r="AC34" s="12" t="s">
        <v>1166</v>
      </c>
      <c r="AD34" s="13" t="b">
        <v>1</v>
      </c>
    </row>
    <row r="35" spans="1:30">
      <c r="A35" t="s">
        <v>115</v>
      </c>
      <c r="B35" t="s">
        <v>116</v>
      </c>
      <c r="C35" t="s">
        <v>117</v>
      </c>
      <c r="D35" t="s">
        <v>19</v>
      </c>
      <c r="E35" t="s">
        <v>20</v>
      </c>
      <c r="F35" t="s">
        <v>121</v>
      </c>
      <c r="G35" t="s">
        <v>122</v>
      </c>
      <c r="H35" t="s">
        <v>22</v>
      </c>
      <c r="I35" t="s">
        <v>123</v>
      </c>
      <c r="L35" t="s">
        <v>23</v>
      </c>
      <c r="M35" t="s">
        <v>24</v>
      </c>
      <c r="N35" t="s">
        <v>31</v>
      </c>
      <c r="P35" s="11" t="s">
        <v>121</v>
      </c>
      <c r="Q35" s="12" t="s">
        <v>116</v>
      </c>
      <c r="R35" s="12" t="s">
        <v>116</v>
      </c>
      <c r="S35" s="12" t="b">
        <v>1</v>
      </c>
      <c r="T35" s="12" t="b">
        <v>1</v>
      </c>
      <c r="U35" s="12">
        <v>1</v>
      </c>
      <c r="V35" s="12" t="s">
        <v>117</v>
      </c>
      <c r="W35" s="12" t="s">
        <v>117</v>
      </c>
      <c r="X35" s="12" t="b">
        <v>1</v>
      </c>
      <c r="Y35" s="12" t="b">
        <v>1</v>
      </c>
      <c r="Z35" s="12">
        <v>1</v>
      </c>
      <c r="AA35" s="12">
        <v>0.9</v>
      </c>
      <c r="AB35" s="12" t="s">
        <v>116</v>
      </c>
      <c r="AC35" s="12" t="s">
        <v>1166</v>
      </c>
      <c r="AD35" s="13" t="b">
        <v>1</v>
      </c>
    </row>
    <row r="36" spans="1:30">
      <c r="A36" t="s">
        <v>124</v>
      </c>
      <c r="B36" t="s">
        <v>125</v>
      </c>
      <c r="C36" t="s">
        <v>126</v>
      </c>
      <c r="D36" t="s">
        <v>127</v>
      </c>
      <c r="E36" t="s">
        <v>127</v>
      </c>
      <c r="F36" t="s">
        <v>128</v>
      </c>
      <c r="G36" t="s">
        <v>128</v>
      </c>
      <c r="L36" t="s">
        <v>23</v>
      </c>
      <c r="M36" t="s">
        <v>24</v>
      </c>
      <c r="N36" t="s">
        <v>31</v>
      </c>
      <c r="P36" s="11" t="s">
        <v>128</v>
      </c>
      <c r="Q36" s="12" t="s">
        <v>125</v>
      </c>
      <c r="R36" s="12" t="s">
        <v>125</v>
      </c>
      <c r="S36" s="12" t="b">
        <v>1</v>
      </c>
      <c r="T36" s="12" t="b">
        <v>1</v>
      </c>
      <c r="U36" s="12">
        <v>1</v>
      </c>
      <c r="V36" s="12" t="s">
        <v>126</v>
      </c>
      <c r="W36" s="12" t="s">
        <v>126</v>
      </c>
      <c r="X36" s="12" t="b">
        <v>1</v>
      </c>
      <c r="Y36" s="12" t="b">
        <v>1</v>
      </c>
      <c r="Z36" s="12">
        <v>1</v>
      </c>
      <c r="AA36" s="12">
        <v>0.77990000000000004</v>
      </c>
      <c r="AB36" s="12" t="s">
        <v>1359</v>
      </c>
      <c r="AC36" s="12" t="s">
        <v>1168</v>
      </c>
      <c r="AD36" s="13" t="b">
        <v>1</v>
      </c>
    </row>
    <row r="37" spans="1:30">
      <c r="A37" t="s">
        <v>129</v>
      </c>
      <c r="B37" t="s">
        <v>130</v>
      </c>
      <c r="C37" t="s">
        <v>131</v>
      </c>
      <c r="D37" t="s">
        <v>127</v>
      </c>
      <c r="E37" t="s">
        <v>127</v>
      </c>
      <c r="F37" t="s">
        <v>132</v>
      </c>
      <c r="G37" t="s">
        <v>133</v>
      </c>
      <c r="L37" t="s">
        <v>23</v>
      </c>
      <c r="M37" t="s">
        <v>24</v>
      </c>
      <c r="N37" t="s">
        <v>31</v>
      </c>
      <c r="P37" s="11" t="s">
        <v>132</v>
      </c>
      <c r="Q37" s="12" t="s">
        <v>130</v>
      </c>
      <c r="R37" s="12" t="s">
        <v>130</v>
      </c>
      <c r="S37" s="12" t="b">
        <v>1</v>
      </c>
      <c r="T37" s="12" t="b">
        <v>1</v>
      </c>
      <c r="U37" s="12">
        <v>1</v>
      </c>
      <c r="V37" s="12" t="s">
        <v>131</v>
      </c>
      <c r="W37" s="12" t="s">
        <v>131</v>
      </c>
      <c r="X37" s="12" t="b">
        <v>1</v>
      </c>
      <c r="Y37" s="12" t="b">
        <v>1</v>
      </c>
      <c r="Z37" s="12">
        <v>1</v>
      </c>
      <c r="AA37" s="12">
        <v>1</v>
      </c>
      <c r="AB37" s="12" t="s">
        <v>130</v>
      </c>
      <c r="AC37" s="12" t="s">
        <v>1169</v>
      </c>
      <c r="AD37" s="13" t="b">
        <v>1</v>
      </c>
    </row>
    <row r="38" spans="1:30">
      <c r="A38" t="s">
        <v>134</v>
      </c>
      <c r="B38" t="s">
        <v>135</v>
      </c>
      <c r="C38" t="s">
        <v>136</v>
      </c>
      <c r="D38" t="s">
        <v>19</v>
      </c>
      <c r="E38" t="s">
        <v>20</v>
      </c>
      <c r="F38" t="s">
        <v>134</v>
      </c>
      <c r="G38" t="s">
        <v>137</v>
      </c>
      <c r="H38" t="s">
        <v>22</v>
      </c>
      <c r="L38" t="s">
        <v>23</v>
      </c>
      <c r="M38" t="s">
        <v>24</v>
      </c>
      <c r="N38" t="s">
        <v>25</v>
      </c>
      <c r="P38" s="11" t="s">
        <v>134</v>
      </c>
      <c r="Q38" s="12" t="s">
        <v>135</v>
      </c>
      <c r="R38" s="12" t="s">
        <v>135</v>
      </c>
      <c r="S38" s="12" t="b">
        <v>1</v>
      </c>
      <c r="T38" s="12" t="b">
        <v>1</v>
      </c>
      <c r="U38" s="12">
        <v>1</v>
      </c>
      <c r="V38" s="12" t="s">
        <v>136</v>
      </c>
      <c r="W38" s="12" t="s">
        <v>136</v>
      </c>
      <c r="X38" s="12" t="b">
        <v>1</v>
      </c>
      <c r="Y38" s="12" t="b">
        <v>1</v>
      </c>
      <c r="Z38" s="12">
        <v>1</v>
      </c>
      <c r="AA38" s="12">
        <v>1.2</v>
      </c>
      <c r="AB38" s="12" t="s">
        <v>135</v>
      </c>
      <c r="AC38" s="12" t="s">
        <v>631</v>
      </c>
      <c r="AD38" s="13" t="b">
        <v>1</v>
      </c>
    </row>
    <row r="39" spans="1:30">
      <c r="A39" t="s">
        <v>138</v>
      </c>
      <c r="B39" t="s">
        <v>84</v>
      </c>
      <c r="C39" t="s">
        <v>139</v>
      </c>
      <c r="D39" t="s">
        <v>19</v>
      </c>
      <c r="E39" t="s">
        <v>20</v>
      </c>
      <c r="F39" t="s">
        <v>86</v>
      </c>
      <c r="G39" t="s">
        <v>140</v>
      </c>
      <c r="H39" t="s">
        <v>22</v>
      </c>
      <c r="I39" t="s">
        <v>141</v>
      </c>
      <c r="L39" t="s">
        <v>23</v>
      </c>
      <c r="M39" t="s">
        <v>24</v>
      </c>
      <c r="N39" t="s">
        <v>25</v>
      </c>
      <c r="P39" s="11" t="s">
        <v>86</v>
      </c>
      <c r="Q39" s="12" t="s">
        <v>84</v>
      </c>
      <c r="R39" s="12" t="s">
        <v>84</v>
      </c>
      <c r="S39" s="12" t="b">
        <v>1</v>
      </c>
      <c r="T39" s="12" t="b">
        <v>1</v>
      </c>
      <c r="U39" s="12">
        <v>1</v>
      </c>
      <c r="V39" s="12" t="s">
        <v>139</v>
      </c>
      <c r="W39" s="12" t="s">
        <v>139</v>
      </c>
      <c r="X39" s="12" t="b">
        <v>1</v>
      </c>
      <c r="Y39" s="12" t="b">
        <v>1</v>
      </c>
      <c r="Z39" s="12">
        <v>1</v>
      </c>
      <c r="AA39" s="12">
        <v>1.1048</v>
      </c>
      <c r="AB39" s="12" t="s">
        <v>84</v>
      </c>
      <c r="AC39" s="12" t="s">
        <v>1174</v>
      </c>
      <c r="AD39" s="13" t="b">
        <v>1</v>
      </c>
    </row>
    <row r="40" spans="1:30">
      <c r="A40" t="s">
        <v>142</v>
      </c>
      <c r="B40" t="s">
        <v>143</v>
      </c>
      <c r="C40" t="s">
        <v>144</v>
      </c>
      <c r="D40" t="s">
        <v>19</v>
      </c>
      <c r="E40" t="s">
        <v>20</v>
      </c>
      <c r="F40" t="s">
        <v>145</v>
      </c>
      <c r="G40" t="s">
        <v>146</v>
      </c>
      <c r="H40" t="s">
        <v>22</v>
      </c>
      <c r="L40" t="s">
        <v>23</v>
      </c>
      <c r="M40" t="s">
        <v>24</v>
      </c>
      <c r="N40" t="s">
        <v>25</v>
      </c>
      <c r="P40" s="11" t="s">
        <v>145</v>
      </c>
      <c r="Q40" s="12" t="s">
        <v>143</v>
      </c>
      <c r="R40" s="12" t="s">
        <v>143</v>
      </c>
      <c r="S40" s="12" t="b">
        <v>1</v>
      </c>
      <c r="T40" s="12" t="b">
        <v>1</v>
      </c>
      <c r="U40" s="12">
        <v>1</v>
      </c>
      <c r="V40" s="12" t="s">
        <v>144</v>
      </c>
      <c r="W40" s="12" t="s">
        <v>1360</v>
      </c>
      <c r="X40" s="12" t="b">
        <v>0</v>
      </c>
      <c r="Y40" s="12" t="b">
        <v>1</v>
      </c>
      <c r="Z40" s="12">
        <v>2</v>
      </c>
      <c r="AA40" s="12">
        <v>0.9</v>
      </c>
      <c r="AB40" s="12" t="s">
        <v>1361</v>
      </c>
      <c r="AC40" s="12" t="s">
        <v>1362</v>
      </c>
      <c r="AD40" s="13" t="b">
        <v>1</v>
      </c>
    </row>
    <row r="41" spans="1:30">
      <c r="A41" t="s">
        <v>147</v>
      </c>
      <c r="B41" t="s">
        <v>148</v>
      </c>
      <c r="C41" t="s">
        <v>149</v>
      </c>
      <c r="D41" t="s">
        <v>19</v>
      </c>
      <c r="E41" t="s">
        <v>20</v>
      </c>
      <c r="F41" t="s">
        <v>147</v>
      </c>
      <c r="G41" t="s">
        <v>150</v>
      </c>
      <c r="H41" t="s">
        <v>22</v>
      </c>
      <c r="I41" t="s">
        <v>151</v>
      </c>
      <c r="L41" t="s">
        <v>23</v>
      </c>
      <c r="M41" t="s">
        <v>24</v>
      </c>
      <c r="N41" t="s">
        <v>25</v>
      </c>
      <c r="P41" s="11" t="s">
        <v>147</v>
      </c>
      <c r="Q41" s="12" t="s">
        <v>148</v>
      </c>
      <c r="R41" s="12" t="s">
        <v>148</v>
      </c>
      <c r="S41" s="12" t="b">
        <v>1</v>
      </c>
      <c r="T41" s="12" t="b">
        <v>1</v>
      </c>
      <c r="U41" s="12">
        <v>1</v>
      </c>
      <c r="V41" s="12" t="s">
        <v>149</v>
      </c>
      <c r="W41" s="12" t="s">
        <v>149</v>
      </c>
      <c r="X41" s="12" t="b">
        <v>1</v>
      </c>
      <c r="Y41" s="12" t="b">
        <v>1</v>
      </c>
      <c r="Z41" s="12">
        <v>1</v>
      </c>
      <c r="AA41" s="12">
        <v>1.2</v>
      </c>
      <c r="AB41" s="12" t="s">
        <v>1363</v>
      </c>
      <c r="AC41" s="12" t="s">
        <v>1364</v>
      </c>
      <c r="AD41" s="13" t="b">
        <v>1</v>
      </c>
    </row>
    <row r="42" spans="1:30">
      <c r="A42" s="2" t="s">
        <v>152</v>
      </c>
      <c r="B42" s="2" t="s">
        <v>152</v>
      </c>
      <c r="C42" s="2" t="s">
        <v>153</v>
      </c>
      <c r="D42" s="2" t="s">
        <v>19</v>
      </c>
      <c r="E42" s="2" t="s">
        <v>20</v>
      </c>
      <c r="F42" s="2" t="s">
        <v>154</v>
      </c>
      <c r="G42" s="2" t="s">
        <v>155</v>
      </c>
      <c r="H42" s="2" t="s">
        <v>22</v>
      </c>
      <c r="I42" s="2" t="s">
        <v>156</v>
      </c>
      <c r="J42" s="2"/>
      <c r="K42" s="2"/>
      <c r="L42" t="s">
        <v>23</v>
      </c>
      <c r="M42" t="s">
        <v>24</v>
      </c>
      <c r="N42" t="s">
        <v>49</v>
      </c>
      <c r="O42" s="2"/>
      <c r="P42" s="11" t="s">
        <v>154</v>
      </c>
      <c r="Q42" s="12" t="s">
        <v>152</v>
      </c>
      <c r="R42" s="12" t="s">
        <v>1365</v>
      </c>
      <c r="S42" s="12" t="b">
        <v>0</v>
      </c>
      <c r="T42" s="12" t="b">
        <v>0</v>
      </c>
      <c r="U42" s="12"/>
      <c r="V42" s="12" t="s">
        <v>153</v>
      </c>
      <c r="W42" s="12" t="s">
        <v>1360</v>
      </c>
      <c r="X42" s="12" t="b">
        <v>0</v>
      </c>
      <c r="Y42" s="12" t="b">
        <v>0</v>
      </c>
      <c r="Z42" s="12"/>
      <c r="AA42" s="12">
        <v>0.89880000000000004</v>
      </c>
      <c r="AB42" s="12" t="s">
        <v>1366</v>
      </c>
      <c r="AC42" s="12" t="s">
        <v>1367</v>
      </c>
      <c r="AD42" s="13" t="b">
        <v>1</v>
      </c>
    </row>
    <row r="43" spans="1:30">
      <c r="A43" s="2" t="s">
        <v>157</v>
      </c>
      <c r="B43" s="2" t="s">
        <v>158</v>
      </c>
      <c r="C43" s="2" t="s">
        <v>159</v>
      </c>
      <c r="D43" s="2" t="s">
        <v>19</v>
      </c>
      <c r="E43" s="2" t="s">
        <v>20</v>
      </c>
      <c r="F43" s="2" t="s">
        <v>157</v>
      </c>
      <c r="G43" s="2" t="s">
        <v>160</v>
      </c>
      <c r="H43" s="2" t="s">
        <v>22</v>
      </c>
      <c r="I43" s="2" t="s">
        <v>161</v>
      </c>
      <c r="J43" s="2"/>
      <c r="K43" s="2"/>
      <c r="L43" t="s">
        <v>23</v>
      </c>
      <c r="M43" t="s">
        <v>24</v>
      </c>
      <c r="N43" t="s">
        <v>25</v>
      </c>
      <c r="P43" s="11" t="s">
        <v>157</v>
      </c>
      <c r="Q43" s="12" t="s">
        <v>158</v>
      </c>
      <c r="R43" s="12" t="s">
        <v>158</v>
      </c>
      <c r="S43" s="12" t="b">
        <v>1</v>
      </c>
      <c r="T43" s="12" t="b">
        <v>1</v>
      </c>
      <c r="U43" s="12">
        <v>1</v>
      </c>
      <c r="V43" s="12" t="s">
        <v>159</v>
      </c>
      <c r="W43" s="12" t="s">
        <v>159</v>
      </c>
      <c r="X43" s="12" t="b">
        <v>1</v>
      </c>
      <c r="Y43" s="12" t="b">
        <v>1</v>
      </c>
      <c r="Z43" s="12">
        <v>1</v>
      </c>
      <c r="AA43" s="12">
        <v>1.2</v>
      </c>
      <c r="AB43" s="12" t="s">
        <v>1368</v>
      </c>
      <c r="AC43" s="12" t="s">
        <v>1369</v>
      </c>
      <c r="AD43" s="13" t="b">
        <v>1</v>
      </c>
    </row>
    <row r="44" spans="1:30">
      <c r="A44" s="2" t="s">
        <v>162</v>
      </c>
      <c r="B44" s="2" t="s">
        <v>163</v>
      </c>
      <c r="C44" s="2" t="s">
        <v>164</v>
      </c>
      <c r="D44" s="2" t="s">
        <v>19</v>
      </c>
      <c r="E44" s="2" t="s">
        <v>20</v>
      </c>
      <c r="F44" s="2" t="s">
        <v>165</v>
      </c>
      <c r="G44" s="2" t="s">
        <v>166</v>
      </c>
      <c r="H44" s="2" t="s">
        <v>22</v>
      </c>
      <c r="I44" s="2" t="s">
        <v>167</v>
      </c>
      <c r="J44" s="2"/>
      <c r="K44" s="2"/>
      <c r="L44" t="s">
        <v>23</v>
      </c>
      <c r="M44" t="s">
        <v>24</v>
      </c>
      <c r="N44" t="s">
        <v>49</v>
      </c>
      <c r="P44" s="11" t="s">
        <v>165</v>
      </c>
      <c r="Q44" s="12" t="s">
        <v>163</v>
      </c>
      <c r="R44" s="12" t="s">
        <v>168</v>
      </c>
      <c r="S44" s="12" t="b">
        <v>0</v>
      </c>
      <c r="T44" s="12" t="b">
        <v>0</v>
      </c>
      <c r="U44" s="12"/>
      <c r="V44" s="12" t="s">
        <v>164</v>
      </c>
      <c r="W44" s="12" t="s">
        <v>169</v>
      </c>
      <c r="X44" s="12" t="b">
        <v>0</v>
      </c>
      <c r="Y44" s="12" t="b">
        <v>0</v>
      </c>
      <c r="Z44" s="12"/>
      <c r="AA44" s="12">
        <v>1.2</v>
      </c>
      <c r="AB44" s="12" t="s">
        <v>168</v>
      </c>
      <c r="AC44" s="12" t="s">
        <v>169</v>
      </c>
      <c r="AD44" s="13" t="b">
        <v>1</v>
      </c>
    </row>
    <row r="45" spans="1:30">
      <c r="A45" s="2" t="s">
        <v>165</v>
      </c>
      <c r="B45" s="2" t="s">
        <v>168</v>
      </c>
      <c r="C45" s="2" t="s">
        <v>169</v>
      </c>
      <c r="D45" s="2" t="s">
        <v>19</v>
      </c>
      <c r="E45" s="2" t="s">
        <v>20</v>
      </c>
      <c r="F45" s="2" t="s">
        <v>165</v>
      </c>
      <c r="G45" s="2" t="s">
        <v>170</v>
      </c>
      <c r="H45" s="2" t="s">
        <v>22</v>
      </c>
      <c r="I45" s="2" t="s">
        <v>171</v>
      </c>
      <c r="J45" s="2"/>
      <c r="K45" s="2"/>
      <c r="L45" t="s">
        <v>23</v>
      </c>
      <c r="M45" t="s">
        <v>24</v>
      </c>
      <c r="N45" t="s">
        <v>31</v>
      </c>
      <c r="P45" s="11" t="s">
        <v>165</v>
      </c>
      <c r="Q45" s="12" t="s">
        <v>168</v>
      </c>
      <c r="R45" s="12" t="s">
        <v>168</v>
      </c>
      <c r="S45" s="12" t="b">
        <v>1</v>
      </c>
      <c r="T45" s="12" t="b">
        <v>1</v>
      </c>
      <c r="U45" s="12">
        <v>1</v>
      </c>
      <c r="V45" s="12" t="s">
        <v>169</v>
      </c>
      <c r="W45" s="12" t="s">
        <v>169</v>
      </c>
      <c r="X45" s="12" t="b">
        <v>1</v>
      </c>
      <c r="Y45" s="12" t="b">
        <v>1</v>
      </c>
      <c r="Z45" s="12">
        <v>1</v>
      </c>
      <c r="AA45" s="12">
        <v>1.2</v>
      </c>
      <c r="AB45" s="12" t="s">
        <v>168</v>
      </c>
      <c r="AC45" s="12" t="s">
        <v>169</v>
      </c>
      <c r="AD45" s="13" t="b">
        <v>1</v>
      </c>
    </row>
    <row r="46" spans="1:30">
      <c r="A46" s="2" t="s">
        <v>172</v>
      </c>
      <c r="B46" s="2" t="s">
        <v>173</v>
      </c>
      <c r="C46" s="2" t="s">
        <v>174</v>
      </c>
      <c r="D46" s="2" t="s">
        <v>19</v>
      </c>
      <c r="E46" s="2" t="s">
        <v>20</v>
      </c>
      <c r="F46" s="2" t="s">
        <v>175</v>
      </c>
      <c r="G46" s="2" t="s">
        <v>176</v>
      </c>
      <c r="H46" s="2"/>
      <c r="I46" s="2"/>
      <c r="J46" s="2"/>
      <c r="K46" s="2"/>
      <c r="L46" t="s">
        <v>23</v>
      </c>
      <c r="M46" t="s">
        <v>24</v>
      </c>
      <c r="N46" t="s">
        <v>49</v>
      </c>
      <c r="P46" s="11" t="s">
        <v>175</v>
      </c>
      <c r="Q46" s="12" t="s">
        <v>173</v>
      </c>
      <c r="R46" s="12"/>
      <c r="S46" s="12" t="b">
        <v>0</v>
      </c>
      <c r="T46" s="12" t="b">
        <v>0</v>
      </c>
      <c r="U46" s="12"/>
      <c r="V46" s="12" t="s">
        <v>174</v>
      </c>
      <c r="W46" s="12"/>
      <c r="X46" s="12" t="b">
        <v>0</v>
      </c>
      <c r="Y46" s="12" t="b">
        <v>0</v>
      </c>
      <c r="Z46" s="12"/>
      <c r="AA46" s="12"/>
      <c r="AB46" s="12"/>
      <c r="AC46" s="12"/>
      <c r="AD46" s="13" t="b">
        <v>0</v>
      </c>
    </row>
    <row r="47" spans="1:30">
      <c r="A47" t="s">
        <v>16</v>
      </c>
      <c r="B47" t="s">
        <v>17</v>
      </c>
      <c r="C47" t="s">
        <v>177</v>
      </c>
      <c r="D47" t="s">
        <v>44</v>
      </c>
      <c r="E47" t="s">
        <v>20</v>
      </c>
      <c r="F47" t="s">
        <v>178</v>
      </c>
      <c r="H47" t="s">
        <v>179</v>
      </c>
      <c r="J47">
        <v>15670</v>
      </c>
      <c r="L47" t="s">
        <v>180</v>
      </c>
      <c r="M47" t="s">
        <v>24</v>
      </c>
      <c r="N47" t="s">
        <v>49</v>
      </c>
      <c r="P47" s="11" t="s">
        <v>178</v>
      </c>
      <c r="Q47" s="12" t="s">
        <v>17</v>
      </c>
      <c r="R47" s="12" t="s">
        <v>1192</v>
      </c>
      <c r="S47" s="12" t="b">
        <v>0</v>
      </c>
      <c r="T47" s="12" t="b">
        <v>0</v>
      </c>
      <c r="U47" s="12"/>
      <c r="V47" s="12" t="s">
        <v>177</v>
      </c>
      <c r="W47" s="12" t="s">
        <v>43</v>
      </c>
      <c r="X47" s="12" t="b">
        <v>0</v>
      </c>
      <c r="Y47" s="12" t="b">
        <v>0</v>
      </c>
      <c r="Z47" s="12"/>
      <c r="AA47" s="12">
        <v>0.77100000000000002</v>
      </c>
      <c r="AB47" s="12" t="s">
        <v>1370</v>
      </c>
      <c r="AC47" s="12" t="s">
        <v>1371</v>
      </c>
      <c r="AD47" s="13" t="b">
        <v>1</v>
      </c>
    </row>
    <row r="48" spans="1:30">
      <c r="A48" t="s">
        <v>26</v>
      </c>
      <c r="B48" t="s">
        <v>27</v>
      </c>
      <c r="C48" t="s">
        <v>181</v>
      </c>
      <c r="D48" t="s">
        <v>127</v>
      </c>
      <c r="E48" t="s">
        <v>127</v>
      </c>
      <c r="F48" t="s">
        <v>182</v>
      </c>
      <c r="H48" t="s">
        <v>183</v>
      </c>
      <c r="J48">
        <v>12867</v>
      </c>
      <c r="L48" t="s">
        <v>180</v>
      </c>
      <c r="M48" t="s">
        <v>24</v>
      </c>
      <c r="N48" t="s">
        <v>31</v>
      </c>
      <c r="P48" s="11" t="s">
        <v>182</v>
      </c>
      <c r="Q48" s="12" t="s">
        <v>27</v>
      </c>
      <c r="R48" s="12" t="s">
        <v>27</v>
      </c>
      <c r="S48" s="12" t="b">
        <v>1</v>
      </c>
      <c r="T48" s="12" t="b">
        <v>1</v>
      </c>
      <c r="U48" s="12">
        <v>1</v>
      </c>
      <c r="V48" s="12" t="s">
        <v>181</v>
      </c>
      <c r="W48" s="12" t="s">
        <v>181</v>
      </c>
      <c r="X48" s="12" t="b">
        <v>1</v>
      </c>
      <c r="Y48" s="12" t="b">
        <v>1</v>
      </c>
      <c r="Z48" s="12">
        <v>1</v>
      </c>
      <c r="AA48" s="12">
        <v>1.141</v>
      </c>
      <c r="AB48" s="12" t="s">
        <v>1372</v>
      </c>
      <c r="AC48" s="12" t="s">
        <v>1373</v>
      </c>
      <c r="AD48" s="13" t="b">
        <v>1</v>
      </c>
    </row>
    <row r="49" spans="1:30">
      <c r="A49" t="s">
        <v>184</v>
      </c>
      <c r="B49" t="s">
        <v>185</v>
      </c>
      <c r="C49" t="s">
        <v>186</v>
      </c>
      <c r="D49" t="s">
        <v>19</v>
      </c>
      <c r="E49" t="s">
        <v>20</v>
      </c>
      <c r="F49" t="s">
        <v>187</v>
      </c>
      <c r="H49" t="s">
        <v>188</v>
      </c>
      <c r="J49">
        <v>15010</v>
      </c>
      <c r="L49" t="s">
        <v>180</v>
      </c>
      <c r="M49" t="s">
        <v>24</v>
      </c>
      <c r="N49" t="s">
        <v>25</v>
      </c>
      <c r="P49" s="11" t="s">
        <v>187</v>
      </c>
      <c r="Q49" s="12" t="s">
        <v>185</v>
      </c>
      <c r="R49" s="12" t="s">
        <v>185</v>
      </c>
      <c r="S49" s="12" t="b">
        <v>1</v>
      </c>
      <c r="T49" s="12" t="b">
        <v>1</v>
      </c>
      <c r="U49" s="12">
        <v>1</v>
      </c>
      <c r="V49" s="12" t="s">
        <v>186</v>
      </c>
      <c r="W49" s="12" t="s">
        <v>186</v>
      </c>
      <c r="X49" s="12" t="b">
        <v>1</v>
      </c>
      <c r="Y49" s="12" t="b">
        <v>1</v>
      </c>
      <c r="Z49" s="12">
        <v>1</v>
      </c>
      <c r="AA49" s="12">
        <v>1.2</v>
      </c>
      <c r="AB49" s="12" t="s">
        <v>1374</v>
      </c>
      <c r="AC49" s="12" t="s">
        <v>1375</v>
      </c>
      <c r="AD49" s="13" t="b">
        <v>1</v>
      </c>
    </row>
    <row r="50" spans="1:30">
      <c r="A50" t="s">
        <v>53</v>
      </c>
      <c r="B50" t="s">
        <v>54</v>
      </c>
      <c r="C50" t="s">
        <v>55</v>
      </c>
      <c r="D50" t="s">
        <v>19</v>
      </c>
      <c r="E50" t="s">
        <v>20</v>
      </c>
      <c r="F50" t="s">
        <v>53</v>
      </c>
      <c r="H50" t="s">
        <v>189</v>
      </c>
      <c r="J50">
        <v>5628</v>
      </c>
      <c r="L50" t="s">
        <v>180</v>
      </c>
      <c r="M50" t="s">
        <v>24</v>
      </c>
      <c r="N50" t="s">
        <v>25</v>
      </c>
      <c r="P50" s="11" t="s">
        <v>53</v>
      </c>
      <c r="Q50" s="12" t="s">
        <v>54</v>
      </c>
      <c r="R50" s="12" t="s">
        <v>54</v>
      </c>
      <c r="S50" s="12" t="b">
        <v>1</v>
      </c>
      <c r="T50" s="12" t="b">
        <v>1</v>
      </c>
      <c r="U50" s="12">
        <v>1</v>
      </c>
      <c r="V50" s="12" t="s">
        <v>55</v>
      </c>
      <c r="W50" s="12" t="s">
        <v>55</v>
      </c>
      <c r="X50" s="12" t="b">
        <v>1</v>
      </c>
      <c r="Y50" s="12" t="b">
        <v>1</v>
      </c>
      <c r="Z50" s="12">
        <v>1</v>
      </c>
      <c r="AA50" s="12">
        <v>1.1900999999999999</v>
      </c>
      <c r="AB50" s="12" t="s">
        <v>54</v>
      </c>
      <c r="AC50" s="12" t="s">
        <v>1131</v>
      </c>
      <c r="AD50" s="13" t="b">
        <v>1</v>
      </c>
    </row>
    <row r="51" spans="1:30">
      <c r="A51" t="s">
        <v>190</v>
      </c>
      <c r="B51" t="s">
        <v>191</v>
      </c>
      <c r="C51" t="s">
        <v>192</v>
      </c>
      <c r="D51" t="s">
        <v>19</v>
      </c>
      <c r="E51" t="s">
        <v>20</v>
      </c>
      <c r="F51" t="s">
        <v>193</v>
      </c>
      <c r="H51" t="s">
        <v>22</v>
      </c>
      <c r="J51">
        <v>3130</v>
      </c>
      <c r="L51" t="s">
        <v>180</v>
      </c>
      <c r="M51" t="s">
        <v>24</v>
      </c>
      <c r="N51" t="s">
        <v>25</v>
      </c>
      <c r="P51" s="11" t="s">
        <v>193</v>
      </c>
      <c r="Q51" s="12" t="s">
        <v>191</v>
      </c>
      <c r="R51" s="12" t="s">
        <v>191</v>
      </c>
      <c r="S51" s="12" t="b">
        <v>1</v>
      </c>
      <c r="T51" s="12" t="b">
        <v>1</v>
      </c>
      <c r="U51" s="12">
        <v>1</v>
      </c>
      <c r="V51" s="12" t="s">
        <v>192</v>
      </c>
      <c r="W51" s="12" t="s">
        <v>192</v>
      </c>
      <c r="X51" s="12" t="b">
        <v>1</v>
      </c>
      <c r="Y51" s="12" t="b">
        <v>1</v>
      </c>
      <c r="Z51" s="12">
        <v>1</v>
      </c>
      <c r="AA51" s="12">
        <v>0.9</v>
      </c>
      <c r="AB51" s="12" t="s">
        <v>1376</v>
      </c>
      <c r="AC51" s="12" t="s">
        <v>1377</v>
      </c>
      <c r="AD51" s="13" t="b">
        <v>1</v>
      </c>
    </row>
    <row r="52" spans="1:30">
      <c r="A52" t="s">
        <v>68</v>
      </c>
      <c r="B52" t="s">
        <v>69</v>
      </c>
      <c r="C52" t="s">
        <v>70</v>
      </c>
      <c r="D52" t="s">
        <v>19</v>
      </c>
      <c r="E52" t="s">
        <v>20</v>
      </c>
      <c r="F52" t="s">
        <v>194</v>
      </c>
      <c r="H52" t="s">
        <v>189</v>
      </c>
      <c r="J52">
        <v>3155</v>
      </c>
      <c r="L52" t="s">
        <v>180</v>
      </c>
      <c r="M52" t="s">
        <v>24</v>
      </c>
      <c r="N52" t="s">
        <v>31</v>
      </c>
      <c r="P52" s="11" t="s">
        <v>194</v>
      </c>
      <c r="Q52" s="12" t="s">
        <v>69</v>
      </c>
      <c r="R52" s="12" t="s">
        <v>69</v>
      </c>
      <c r="S52" s="12" t="b">
        <v>1</v>
      </c>
      <c r="T52" s="12" t="b">
        <v>1</v>
      </c>
      <c r="U52" s="12">
        <v>1</v>
      </c>
      <c r="V52" s="12" t="s">
        <v>70</v>
      </c>
      <c r="W52" s="12" t="s">
        <v>70</v>
      </c>
      <c r="X52" s="12" t="b">
        <v>1</v>
      </c>
      <c r="Y52" s="12" t="b">
        <v>1</v>
      </c>
      <c r="Z52" s="12">
        <v>1</v>
      </c>
      <c r="AA52" s="12">
        <v>1.0499000000000001</v>
      </c>
      <c r="AB52" s="12" t="s">
        <v>1352</v>
      </c>
      <c r="AC52" s="12" t="s">
        <v>1353</v>
      </c>
      <c r="AD52" s="13" t="b">
        <v>1</v>
      </c>
    </row>
    <row r="53" spans="1:30">
      <c r="A53" t="s">
        <v>195</v>
      </c>
      <c r="B53" t="s">
        <v>196</v>
      </c>
      <c r="C53" t="s">
        <v>197</v>
      </c>
      <c r="D53" t="s">
        <v>19</v>
      </c>
      <c r="E53" t="s">
        <v>20</v>
      </c>
      <c r="F53" t="s">
        <v>198</v>
      </c>
      <c r="H53" t="s">
        <v>189</v>
      </c>
      <c r="J53">
        <v>3098</v>
      </c>
      <c r="L53" t="s">
        <v>180</v>
      </c>
      <c r="M53" t="s">
        <v>24</v>
      </c>
      <c r="N53" t="s">
        <v>25</v>
      </c>
      <c r="P53" s="11" t="s">
        <v>198</v>
      </c>
      <c r="Q53" s="12" t="s">
        <v>196</v>
      </c>
      <c r="R53" s="12" t="s">
        <v>196</v>
      </c>
      <c r="S53" s="12" t="b">
        <v>1</v>
      </c>
      <c r="T53" s="12" t="b">
        <v>1</v>
      </c>
      <c r="U53" s="12">
        <v>1</v>
      </c>
      <c r="V53" s="12" t="s">
        <v>197</v>
      </c>
      <c r="W53" s="12" t="s">
        <v>197</v>
      </c>
      <c r="X53" s="12" t="b">
        <v>1</v>
      </c>
      <c r="Y53" s="12" t="b">
        <v>1</v>
      </c>
      <c r="Z53" s="12">
        <v>1</v>
      </c>
      <c r="AA53" s="12">
        <v>0.8901</v>
      </c>
      <c r="AB53" s="12" t="s">
        <v>1378</v>
      </c>
      <c r="AC53" s="12" t="s">
        <v>1379</v>
      </c>
      <c r="AD53" s="13" t="b">
        <v>1</v>
      </c>
    </row>
    <row r="54" spans="1:30">
      <c r="A54" t="s">
        <v>199</v>
      </c>
      <c r="B54" t="s">
        <v>200</v>
      </c>
      <c r="C54" t="s">
        <v>201</v>
      </c>
      <c r="D54" t="s">
        <v>19</v>
      </c>
      <c r="E54" t="s">
        <v>20</v>
      </c>
      <c r="F54" t="s">
        <v>202</v>
      </c>
      <c r="H54" t="s">
        <v>203</v>
      </c>
      <c r="J54">
        <v>3240</v>
      </c>
      <c r="L54" t="s">
        <v>180</v>
      </c>
      <c r="M54" t="s">
        <v>24</v>
      </c>
      <c r="N54" t="s">
        <v>25</v>
      </c>
      <c r="P54" s="11" t="s">
        <v>202</v>
      </c>
      <c r="Q54" s="12" t="s">
        <v>200</v>
      </c>
      <c r="R54" s="12" t="s">
        <v>200</v>
      </c>
      <c r="S54" s="12" t="b">
        <v>1</v>
      </c>
      <c r="T54" s="12" t="b">
        <v>1</v>
      </c>
      <c r="U54" s="12">
        <v>1</v>
      </c>
      <c r="V54" s="12" t="s">
        <v>201</v>
      </c>
      <c r="W54" s="12" t="s">
        <v>201</v>
      </c>
      <c r="X54" s="12" t="b">
        <v>1</v>
      </c>
      <c r="Y54" s="12" t="b">
        <v>1</v>
      </c>
      <c r="Z54" s="12">
        <v>1</v>
      </c>
      <c r="AA54" s="12">
        <v>1.1154999999999999</v>
      </c>
      <c r="AB54" s="12" t="s">
        <v>200</v>
      </c>
      <c r="AC54" s="12" t="s">
        <v>1203</v>
      </c>
      <c r="AD54" s="13" t="b">
        <v>1</v>
      </c>
    </row>
    <row r="55" spans="1:30">
      <c r="A55" t="s">
        <v>204</v>
      </c>
      <c r="B55" t="s">
        <v>205</v>
      </c>
      <c r="C55" t="s">
        <v>206</v>
      </c>
      <c r="D55" t="s">
        <v>19</v>
      </c>
      <c r="E55" t="s">
        <v>20</v>
      </c>
      <c r="F55" t="s">
        <v>207</v>
      </c>
      <c r="H55" t="s">
        <v>208</v>
      </c>
      <c r="J55">
        <v>10566</v>
      </c>
      <c r="L55" t="s">
        <v>180</v>
      </c>
      <c r="M55" t="s">
        <v>24</v>
      </c>
      <c r="N55" t="s">
        <v>31</v>
      </c>
      <c r="P55" s="11" t="s">
        <v>207</v>
      </c>
      <c r="Q55" s="12" t="s">
        <v>205</v>
      </c>
      <c r="R55" s="12" t="s">
        <v>205</v>
      </c>
      <c r="S55" s="12" t="b">
        <v>1</v>
      </c>
      <c r="T55" s="12" t="b">
        <v>1</v>
      </c>
      <c r="U55" s="12">
        <v>1</v>
      </c>
      <c r="V55" s="12" t="s">
        <v>206</v>
      </c>
      <c r="W55" s="12" t="s">
        <v>206</v>
      </c>
      <c r="X55" s="12" t="b">
        <v>1</v>
      </c>
      <c r="Y55" s="12" t="b">
        <v>1</v>
      </c>
      <c r="Z55" s="12">
        <v>1</v>
      </c>
      <c r="AA55" s="12">
        <v>1.2</v>
      </c>
      <c r="AB55" s="12" t="s">
        <v>1309</v>
      </c>
      <c r="AC55" s="12" t="s">
        <v>1380</v>
      </c>
      <c r="AD55" s="13" t="b">
        <v>1</v>
      </c>
    </row>
    <row r="56" spans="1:30">
      <c r="A56" t="s">
        <v>209</v>
      </c>
      <c r="B56" t="s">
        <v>210</v>
      </c>
      <c r="C56" t="s">
        <v>211</v>
      </c>
      <c r="D56" t="s">
        <v>19</v>
      </c>
      <c r="E56" t="s">
        <v>20</v>
      </c>
      <c r="F56" t="s">
        <v>212</v>
      </c>
      <c r="H56" t="s">
        <v>189</v>
      </c>
      <c r="J56">
        <v>9059</v>
      </c>
      <c r="L56" t="s">
        <v>180</v>
      </c>
      <c r="M56" t="s">
        <v>24</v>
      </c>
      <c r="N56" t="s">
        <v>25</v>
      </c>
      <c r="P56" s="11" t="s">
        <v>212</v>
      </c>
      <c r="Q56" s="12" t="s">
        <v>210</v>
      </c>
      <c r="R56" s="12" t="s">
        <v>210</v>
      </c>
      <c r="S56" s="12" t="b">
        <v>1</v>
      </c>
      <c r="T56" s="12" t="b">
        <v>1</v>
      </c>
      <c r="U56" s="12">
        <v>1</v>
      </c>
      <c r="V56" s="12" t="s">
        <v>211</v>
      </c>
      <c r="W56" s="12" t="s">
        <v>500</v>
      </c>
      <c r="X56" s="12" t="b">
        <v>0</v>
      </c>
      <c r="Y56" s="12" t="b">
        <v>1</v>
      </c>
      <c r="Z56" s="12">
        <v>3</v>
      </c>
      <c r="AA56" s="12">
        <v>1.2</v>
      </c>
      <c r="AB56" s="12" t="s">
        <v>210</v>
      </c>
      <c r="AC56" s="12" t="s">
        <v>1207</v>
      </c>
      <c r="AD56" s="13" t="b">
        <v>1</v>
      </c>
    </row>
    <row r="57" spans="1:30">
      <c r="A57" t="s">
        <v>213</v>
      </c>
      <c r="B57" t="s">
        <v>214</v>
      </c>
      <c r="C57" t="s">
        <v>215</v>
      </c>
      <c r="D57" t="s">
        <v>44</v>
      </c>
      <c r="E57" t="s">
        <v>20</v>
      </c>
      <c r="F57" t="s">
        <v>216</v>
      </c>
      <c r="H57" t="s">
        <v>217</v>
      </c>
      <c r="J57">
        <v>10523</v>
      </c>
      <c r="L57" t="s">
        <v>180</v>
      </c>
      <c r="M57" t="s">
        <v>24</v>
      </c>
      <c r="N57" t="s">
        <v>49</v>
      </c>
      <c r="P57" s="11" t="s">
        <v>216</v>
      </c>
      <c r="Q57" s="12" t="s">
        <v>214</v>
      </c>
      <c r="R57" s="12" t="s">
        <v>1310</v>
      </c>
      <c r="S57" s="12" t="b">
        <v>0</v>
      </c>
      <c r="T57" s="12" t="b">
        <v>0</v>
      </c>
      <c r="U57" s="12"/>
      <c r="V57" s="12" t="s">
        <v>215</v>
      </c>
      <c r="W57" s="12" t="s">
        <v>650</v>
      </c>
      <c r="X57" s="12" t="b">
        <v>0</v>
      </c>
      <c r="Y57" s="12" t="b">
        <v>0</v>
      </c>
      <c r="Z57" s="12"/>
      <c r="AA57" s="12">
        <v>1.0158</v>
      </c>
      <c r="AB57" s="12" t="s">
        <v>1311</v>
      </c>
      <c r="AC57" s="12" t="s">
        <v>1381</v>
      </c>
      <c r="AD57" s="13" t="b">
        <v>1</v>
      </c>
    </row>
    <row r="58" spans="1:30">
      <c r="A58" t="s">
        <v>213</v>
      </c>
      <c r="B58" t="s">
        <v>214</v>
      </c>
      <c r="C58" t="s">
        <v>218</v>
      </c>
      <c r="D58" t="s">
        <v>19</v>
      </c>
      <c r="E58" t="s">
        <v>20</v>
      </c>
      <c r="F58" t="s">
        <v>216</v>
      </c>
      <c r="H58" t="s">
        <v>219</v>
      </c>
      <c r="J58">
        <v>10521</v>
      </c>
      <c r="L58" t="s">
        <v>180</v>
      </c>
      <c r="M58" t="s">
        <v>24</v>
      </c>
      <c r="N58" t="s">
        <v>49</v>
      </c>
      <c r="P58" s="11" t="s">
        <v>216</v>
      </c>
      <c r="Q58" s="12" t="s">
        <v>214</v>
      </c>
      <c r="R58" s="12" t="s">
        <v>925</v>
      </c>
      <c r="S58" s="12" t="b">
        <v>0</v>
      </c>
      <c r="T58" s="12" t="b">
        <v>0</v>
      </c>
      <c r="U58" s="12"/>
      <c r="V58" s="12" t="s">
        <v>218</v>
      </c>
      <c r="W58" s="12" t="s">
        <v>652</v>
      </c>
      <c r="X58" s="12" t="b">
        <v>0</v>
      </c>
      <c r="Y58" s="12" t="b">
        <v>0</v>
      </c>
      <c r="Z58" s="12"/>
      <c r="AA58" s="12">
        <v>0.93359999999999999</v>
      </c>
      <c r="AB58" s="12" t="s">
        <v>1008</v>
      </c>
      <c r="AC58" s="12" t="s">
        <v>1382</v>
      </c>
      <c r="AD58" s="13" t="b">
        <v>1</v>
      </c>
    </row>
    <row r="59" spans="1:30">
      <c r="A59" t="s">
        <v>220</v>
      </c>
      <c r="B59" t="s">
        <v>221</v>
      </c>
      <c r="C59" t="s">
        <v>222</v>
      </c>
      <c r="D59" t="s">
        <v>19</v>
      </c>
      <c r="E59" t="s">
        <v>20</v>
      </c>
      <c r="F59" t="s">
        <v>223</v>
      </c>
      <c r="H59" t="s">
        <v>22</v>
      </c>
      <c r="J59">
        <v>9770</v>
      </c>
      <c r="L59" t="s">
        <v>180</v>
      </c>
      <c r="M59" t="s">
        <v>24</v>
      </c>
      <c r="N59" t="s">
        <v>49</v>
      </c>
      <c r="P59" s="11" t="s">
        <v>223</v>
      </c>
      <c r="Q59" s="12" t="s">
        <v>221</v>
      </c>
      <c r="R59" s="12" t="s">
        <v>221</v>
      </c>
      <c r="S59" s="12" t="b">
        <v>1</v>
      </c>
      <c r="T59" s="12" t="b">
        <v>1</v>
      </c>
      <c r="U59" s="12">
        <v>1</v>
      </c>
      <c r="V59" s="12" t="s">
        <v>222</v>
      </c>
      <c r="W59" s="12" t="s">
        <v>222</v>
      </c>
      <c r="X59" s="12" t="b">
        <v>1</v>
      </c>
      <c r="Y59" s="12" t="b">
        <v>1</v>
      </c>
      <c r="Z59" s="12">
        <v>1</v>
      </c>
      <c r="AA59" s="12">
        <v>1.2</v>
      </c>
      <c r="AB59" s="12" t="s">
        <v>1383</v>
      </c>
      <c r="AC59" s="12" t="s">
        <v>1384</v>
      </c>
      <c r="AD59" s="13" t="b">
        <v>1</v>
      </c>
    </row>
    <row r="60" spans="1:30">
      <c r="A60" t="s">
        <v>224</v>
      </c>
      <c r="B60" t="s">
        <v>148</v>
      </c>
      <c r="C60" t="s">
        <v>149</v>
      </c>
      <c r="D60" t="s">
        <v>19</v>
      </c>
      <c r="E60" t="s">
        <v>20</v>
      </c>
      <c r="F60" t="s">
        <v>225</v>
      </c>
      <c r="H60" t="s">
        <v>226</v>
      </c>
      <c r="J60">
        <v>15418</v>
      </c>
      <c r="L60" t="s">
        <v>180</v>
      </c>
      <c r="M60" t="s">
        <v>24</v>
      </c>
      <c r="N60" t="s">
        <v>25</v>
      </c>
      <c r="P60" s="11" t="s">
        <v>225</v>
      </c>
      <c r="Q60" s="12" t="s">
        <v>148</v>
      </c>
      <c r="R60" s="12" t="s">
        <v>148</v>
      </c>
      <c r="S60" s="12" t="b">
        <v>1</v>
      </c>
      <c r="T60" s="12" t="b">
        <v>1</v>
      </c>
      <c r="U60" s="12">
        <v>1</v>
      </c>
      <c r="V60" s="12" t="s">
        <v>149</v>
      </c>
      <c r="W60" s="12" t="s">
        <v>149</v>
      </c>
      <c r="X60" s="12" t="b">
        <v>1</v>
      </c>
      <c r="Y60" s="12" t="b">
        <v>1</v>
      </c>
      <c r="Z60" s="12">
        <v>1</v>
      </c>
      <c r="AA60" s="12">
        <v>1.2</v>
      </c>
      <c r="AB60" s="12" t="s">
        <v>1363</v>
      </c>
      <c r="AC60" s="12" t="s">
        <v>1364</v>
      </c>
      <c r="AD60" s="13" t="b">
        <v>1</v>
      </c>
    </row>
    <row r="61" spans="1:30">
      <c r="A61" t="s">
        <v>227</v>
      </c>
      <c r="B61" t="s">
        <v>158</v>
      </c>
      <c r="C61" t="s">
        <v>159</v>
      </c>
      <c r="D61" t="s">
        <v>19</v>
      </c>
      <c r="E61" t="s">
        <v>20</v>
      </c>
      <c r="F61" t="s">
        <v>228</v>
      </c>
      <c r="H61" t="s">
        <v>229</v>
      </c>
      <c r="J61">
        <v>12829</v>
      </c>
      <c r="L61" t="s">
        <v>180</v>
      </c>
      <c r="M61" t="s">
        <v>24</v>
      </c>
      <c r="N61" t="s">
        <v>49</v>
      </c>
      <c r="P61" s="11" t="s">
        <v>228</v>
      </c>
      <c r="Q61" s="12" t="s">
        <v>158</v>
      </c>
      <c r="R61" s="12" t="s">
        <v>1010</v>
      </c>
      <c r="S61" s="12" t="b">
        <v>0</v>
      </c>
      <c r="T61" s="12" t="b">
        <v>1</v>
      </c>
      <c r="U61" s="12">
        <v>4</v>
      </c>
      <c r="V61" s="12" t="s">
        <v>159</v>
      </c>
      <c r="W61" s="12" t="s">
        <v>1213</v>
      </c>
      <c r="X61" s="12" t="b">
        <v>0</v>
      </c>
      <c r="Y61" s="12" t="b">
        <v>0</v>
      </c>
      <c r="Z61" s="12">
        <v>15</v>
      </c>
      <c r="AA61" s="12">
        <v>0.84560000000000002</v>
      </c>
      <c r="AB61" s="12" t="s">
        <v>1385</v>
      </c>
      <c r="AC61" s="12" t="s">
        <v>1386</v>
      </c>
      <c r="AD61" s="13" t="b">
        <v>1</v>
      </c>
    </row>
    <row r="62" spans="1:30">
      <c r="A62" t="s">
        <v>230</v>
      </c>
      <c r="B62" t="s">
        <v>231</v>
      </c>
      <c r="C62" t="s">
        <v>232</v>
      </c>
      <c r="D62" t="s">
        <v>127</v>
      </c>
      <c r="E62" t="s">
        <v>127</v>
      </c>
      <c r="F62" t="s">
        <v>233</v>
      </c>
      <c r="H62" t="s">
        <v>234</v>
      </c>
      <c r="J62">
        <v>23253</v>
      </c>
      <c r="L62" t="s">
        <v>180</v>
      </c>
      <c r="M62" t="s">
        <v>24</v>
      </c>
      <c r="N62" t="s">
        <v>49</v>
      </c>
      <c r="P62" s="11" t="s">
        <v>233</v>
      </c>
      <c r="Q62" s="12" t="s">
        <v>231</v>
      </c>
      <c r="R62" s="12" t="s">
        <v>233</v>
      </c>
      <c r="S62" s="12" t="b">
        <v>0</v>
      </c>
      <c r="T62" s="12" t="b">
        <v>0</v>
      </c>
      <c r="U62" s="12"/>
      <c r="V62" s="12" t="s">
        <v>232</v>
      </c>
      <c r="W62" s="12" t="s">
        <v>516</v>
      </c>
      <c r="X62" s="12" t="b">
        <v>0</v>
      </c>
      <c r="Y62" s="12" t="b">
        <v>0</v>
      </c>
      <c r="Z62" s="12"/>
      <c r="AA62" s="12">
        <v>0.9</v>
      </c>
      <c r="AB62" s="12" t="s">
        <v>1314</v>
      </c>
      <c r="AC62" s="12" t="s">
        <v>1387</v>
      </c>
      <c r="AD62" s="13" t="b">
        <v>1</v>
      </c>
    </row>
    <row r="63" spans="1:30">
      <c r="A63" t="s">
        <v>235</v>
      </c>
      <c r="B63" t="s">
        <v>236</v>
      </c>
      <c r="C63" t="s">
        <v>237</v>
      </c>
      <c r="D63" t="s">
        <v>19</v>
      </c>
      <c r="E63" t="s">
        <v>20</v>
      </c>
      <c r="F63" t="s">
        <v>238</v>
      </c>
      <c r="H63" t="s">
        <v>239</v>
      </c>
      <c r="J63">
        <v>13567</v>
      </c>
      <c r="L63" t="s">
        <v>180</v>
      </c>
      <c r="M63" t="s">
        <v>24</v>
      </c>
      <c r="N63" t="s">
        <v>49</v>
      </c>
      <c r="P63" s="11" t="s">
        <v>238</v>
      </c>
      <c r="Q63" s="12" t="s">
        <v>236</v>
      </c>
      <c r="R63" s="12"/>
      <c r="S63" s="12" t="b">
        <v>0</v>
      </c>
      <c r="T63" s="12" t="b">
        <v>0</v>
      </c>
      <c r="U63" s="12"/>
      <c r="V63" s="12" t="s">
        <v>237</v>
      </c>
      <c r="W63" s="12"/>
      <c r="X63" s="12" t="b">
        <v>0</v>
      </c>
      <c r="Y63" s="12" t="b">
        <v>0</v>
      </c>
      <c r="Z63" s="12"/>
      <c r="AA63" s="12"/>
      <c r="AB63" s="12"/>
      <c r="AC63" s="12"/>
      <c r="AD63" s="13" t="b">
        <v>0</v>
      </c>
    </row>
    <row r="64" spans="1:30">
      <c r="A64" t="s">
        <v>240</v>
      </c>
      <c r="B64" t="s">
        <v>241</v>
      </c>
      <c r="C64" t="s">
        <v>242</v>
      </c>
      <c r="D64" t="s">
        <v>19</v>
      </c>
      <c r="E64" t="s">
        <v>20</v>
      </c>
      <c r="F64" t="s">
        <v>243</v>
      </c>
      <c r="H64" t="s">
        <v>244</v>
      </c>
      <c r="J64">
        <v>11807</v>
      </c>
      <c r="L64" t="s">
        <v>180</v>
      </c>
      <c r="M64" t="s">
        <v>24</v>
      </c>
      <c r="N64" t="s">
        <v>31</v>
      </c>
      <c r="P64" s="11" t="s">
        <v>243</v>
      </c>
      <c r="Q64" s="12" t="s">
        <v>241</v>
      </c>
      <c r="R64" s="12" t="s">
        <v>241</v>
      </c>
      <c r="S64" s="12" t="b">
        <v>1</v>
      </c>
      <c r="T64" s="12" t="b">
        <v>1</v>
      </c>
      <c r="U64" s="12">
        <v>1</v>
      </c>
      <c r="V64" s="12" t="s">
        <v>242</v>
      </c>
      <c r="W64" s="12" t="s">
        <v>1219</v>
      </c>
      <c r="X64" s="12" t="b">
        <v>0</v>
      </c>
      <c r="Y64" s="12" t="b">
        <v>1</v>
      </c>
      <c r="Z64" s="12">
        <v>2</v>
      </c>
      <c r="AA64" s="12">
        <v>0.99409999999999998</v>
      </c>
      <c r="AB64" s="12" t="s">
        <v>1013</v>
      </c>
      <c r="AC64" s="12" t="s">
        <v>1388</v>
      </c>
      <c r="AD64" s="13" t="b">
        <v>1</v>
      </c>
    </row>
    <row r="65" spans="1:30">
      <c r="A65" t="s">
        <v>245</v>
      </c>
      <c r="B65" t="s">
        <v>246</v>
      </c>
      <c r="C65" t="s">
        <v>247</v>
      </c>
      <c r="D65" t="s">
        <v>19</v>
      </c>
      <c r="E65" t="s">
        <v>20</v>
      </c>
      <c r="F65" t="s">
        <v>248</v>
      </c>
      <c r="H65" t="s">
        <v>249</v>
      </c>
      <c r="J65">
        <v>14568</v>
      </c>
      <c r="L65" t="s">
        <v>180</v>
      </c>
      <c r="M65" t="s">
        <v>24</v>
      </c>
      <c r="N65" t="s">
        <v>31</v>
      </c>
      <c r="P65" s="11" t="s">
        <v>248</v>
      </c>
      <c r="Q65" s="12" t="s">
        <v>246</v>
      </c>
      <c r="R65" s="12" t="s">
        <v>246</v>
      </c>
      <c r="S65" s="12" t="b">
        <v>1</v>
      </c>
      <c r="T65" s="12" t="b">
        <v>1</v>
      </c>
      <c r="U65" s="12">
        <v>1</v>
      </c>
      <c r="V65" s="12" t="s">
        <v>247</v>
      </c>
      <c r="W65" s="12" t="s">
        <v>1222</v>
      </c>
      <c r="X65" s="12" t="b">
        <v>0</v>
      </c>
      <c r="Y65" s="12" t="b">
        <v>1</v>
      </c>
      <c r="Z65" s="12">
        <v>2</v>
      </c>
      <c r="AA65" s="12">
        <v>0.9</v>
      </c>
      <c r="AB65" s="12" t="s">
        <v>1014</v>
      </c>
      <c r="AC65" s="12" t="s">
        <v>1224</v>
      </c>
      <c r="AD65" s="13" t="b">
        <v>1</v>
      </c>
    </row>
    <row r="66" spans="1:30">
      <c r="A66" t="s">
        <v>184</v>
      </c>
      <c r="B66" t="s">
        <v>185</v>
      </c>
      <c r="C66" t="s">
        <v>186</v>
      </c>
      <c r="D66" t="s">
        <v>19</v>
      </c>
      <c r="E66" t="s">
        <v>20</v>
      </c>
      <c r="F66" t="s">
        <v>184</v>
      </c>
      <c r="H66" t="s">
        <v>250</v>
      </c>
      <c r="K66" t="s">
        <v>251</v>
      </c>
      <c r="L66" t="s">
        <v>252</v>
      </c>
      <c r="M66" t="s">
        <v>24</v>
      </c>
      <c r="N66" t="s">
        <v>25</v>
      </c>
      <c r="P66" s="11" t="s">
        <v>184</v>
      </c>
      <c r="Q66" s="12" t="s">
        <v>185</v>
      </c>
      <c r="R66" s="12" t="s">
        <v>185</v>
      </c>
      <c r="S66" s="12" t="b">
        <v>1</v>
      </c>
      <c r="T66" s="12" t="b">
        <v>1</v>
      </c>
      <c r="U66" s="12">
        <v>1</v>
      </c>
      <c r="V66" s="12" t="s">
        <v>186</v>
      </c>
      <c r="W66" s="12" t="s">
        <v>186</v>
      </c>
      <c r="X66" s="12" t="b">
        <v>1</v>
      </c>
      <c r="Y66" s="12" t="b">
        <v>1</v>
      </c>
      <c r="Z66" s="12">
        <v>1</v>
      </c>
      <c r="AA66" s="12">
        <v>1.2</v>
      </c>
      <c r="AB66" s="12" t="s">
        <v>1374</v>
      </c>
      <c r="AC66" s="12" t="s">
        <v>1389</v>
      </c>
      <c r="AD66" s="13" t="b">
        <v>1</v>
      </c>
    </row>
    <row r="67" spans="1:30">
      <c r="A67" t="s">
        <v>253</v>
      </c>
      <c r="B67" t="s">
        <v>214</v>
      </c>
      <c r="C67" t="s">
        <v>254</v>
      </c>
      <c r="D67" t="s">
        <v>127</v>
      </c>
      <c r="E67" t="s">
        <v>127</v>
      </c>
      <c r="F67" t="s">
        <v>253</v>
      </c>
      <c r="H67" t="s">
        <v>127</v>
      </c>
      <c r="K67">
        <v>1680</v>
      </c>
      <c r="L67" t="s">
        <v>252</v>
      </c>
      <c r="M67" t="s">
        <v>24</v>
      </c>
      <c r="N67" t="s">
        <v>31</v>
      </c>
      <c r="P67" s="11" t="s">
        <v>253</v>
      </c>
      <c r="Q67" s="12" t="s">
        <v>214</v>
      </c>
      <c r="R67" s="12" t="s">
        <v>214</v>
      </c>
      <c r="S67" s="12" t="b">
        <v>1</v>
      </c>
      <c r="T67" s="12" t="b">
        <v>1</v>
      </c>
      <c r="U67" s="12">
        <v>1</v>
      </c>
      <c r="V67" s="12" t="s">
        <v>254</v>
      </c>
      <c r="W67" s="12" t="s">
        <v>254</v>
      </c>
      <c r="X67" s="12" t="b">
        <v>1</v>
      </c>
      <c r="Y67" s="12" t="b">
        <v>1</v>
      </c>
      <c r="Z67" s="12">
        <v>1</v>
      </c>
      <c r="AA67" s="12">
        <v>1.2</v>
      </c>
      <c r="AB67" s="12" t="s">
        <v>1390</v>
      </c>
      <c r="AC67" s="12" t="s">
        <v>1391</v>
      </c>
      <c r="AD67" s="13" t="b">
        <v>1</v>
      </c>
    </row>
    <row r="68" spans="1:30">
      <c r="A68" t="s">
        <v>255</v>
      </c>
      <c r="B68" t="s">
        <v>256</v>
      </c>
      <c r="C68" t="s">
        <v>257</v>
      </c>
      <c r="D68" t="s">
        <v>79</v>
      </c>
      <c r="E68" t="s">
        <v>20</v>
      </c>
      <c r="F68" t="s">
        <v>258</v>
      </c>
      <c r="H68" t="s">
        <v>259</v>
      </c>
      <c r="K68" t="s">
        <v>260</v>
      </c>
      <c r="L68" t="s">
        <v>252</v>
      </c>
      <c r="M68" t="s">
        <v>24</v>
      </c>
      <c r="N68" t="s">
        <v>31</v>
      </c>
      <c r="P68" s="11" t="s">
        <v>1016</v>
      </c>
      <c r="Q68" s="12" t="s">
        <v>256</v>
      </c>
      <c r="R68" s="12" t="s">
        <v>256</v>
      </c>
      <c r="S68" s="12" t="b">
        <v>1</v>
      </c>
      <c r="T68" s="12" t="b">
        <v>1</v>
      </c>
      <c r="U68" s="12">
        <v>1</v>
      </c>
      <c r="V68" s="12" t="s">
        <v>257</v>
      </c>
      <c r="W68" s="12" t="s">
        <v>257</v>
      </c>
      <c r="X68" s="12" t="b">
        <v>1</v>
      </c>
      <c r="Y68" s="12" t="b">
        <v>1</v>
      </c>
      <c r="Z68" s="12">
        <v>1</v>
      </c>
      <c r="AA68" s="12">
        <v>1.2</v>
      </c>
      <c r="AB68" s="12" t="s">
        <v>256</v>
      </c>
      <c r="AC68" s="12" t="s">
        <v>531</v>
      </c>
      <c r="AD68" s="13" t="b">
        <v>1</v>
      </c>
    </row>
    <row r="69" spans="1:30">
      <c r="A69" t="s">
        <v>261</v>
      </c>
      <c r="B69" t="s">
        <v>262</v>
      </c>
      <c r="C69" t="s">
        <v>263</v>
      </c>
      <c r="D69" t="s">
        <v>19</v>
      </c>
      <c r="E69" t="s">
        <v>20</v>
      </c>
      <c r="F69" t="s">
        <v>261</v>
      </c>
      <c r="H69" t="s">
        <v>189</v>
      </c>
      <c r="K69" t="s">
        <v>264</v>
      </c>
      <c r="L69" t="s">
        <v>252</v>
      </c>
      <c r="M69" t="s">
        <v>24</v>
      </c>
      <c r="N69" t="s">
        <v>31</v>
      </c>
      <c r="P69" s="11" t="s">
        <v>261</v>
      </c>
      <c r="Q69" s="12" t="s">
        <v>262</v>
      </c>
      <c r="R69" s="12" t="s">
        <v>262</v>
      </c>
      <c r="S69" s="12" t="b">
        <v>1</v>
      </c>
      <c r="T69" s="12" t="b">
        <v>1</v>
      </c>
      <c r="U69" s="12">
        <v>1</v>
      </c>
      <c r="V69" s="12" t="s">
        <v>263</v>
      </c>
      <c r="W69" s="12" t="s">
        <v>263</v>
      </c>
      <c r="X69" s="12" t="b">
        <v>1</v>
      </c>
      <c r="Y69" s="12" t="b">
        <v>1</v>
      </c>
      <c r="Z69" s="12">
        <v>1</v>
      </c>
      <c r="AA69" s="12">
        <v>1.2</v>
      </c>
      <c r="AB69" s="12" t="s">
        <v>1392</v>
      </c>
      <c r="AC69" s="12" t="s">
        <v>1393</v>
      </c>
      <c r="AD69" s="13" t="b">
        <v>1</v>
      </c>
    </row>
    <row r="70" spans="1:30">
      <c r="A70" t="s">
        <v>265</v>
      </c>
      <c r="B70" t="s">
        <v>266</v>
      </c>
      <c r="C70" t="s">
        <v>267</v>
      </c>
      <c r="D70" t="s">
        <v>19</v>
      </c>
      <c r="E70" t="s">
        <v>20</v>
      </c>
      <c r="F70" t="s">
        <v>268</v>
      </c>
      <c r="H70" t="s">
        <v>269</v>
      </c>
      <c r="K70">
        <v>2207</v>
      </c>
      <c r="L70" t="s">
        <v>252</v>
      </c>
      <c r="M70" t="s">
        <v>24</v>
      </c>
      <c r="N70" t="s">
        <v>49</v>
      </c>
      <c r="P70" s="11" t="s">
        <v>268</v>
      </c>
      <c r="Q70" s="12" t="s">
        <v>266</v>
      </c>
      <c r="R70" s="12" t="s">
        <v>266</v>
      </c>
      <c r="S70" s="12" t="b">
        <v>1</v>
      </c>
      <c r="T70" s="12" t="b">
        <v>1</v>
      </c>
      <c r="U70" s="12">
        <v>1</v>
      </c>
      <c r="V70" s="12" t="s">
        <v>267</v>
      </c>
      <c r="W70" s="12" t="s">
        <v>1229</v>
      </c>
      <c r="X70" s="12" t="b">
        <v>0</v>
      </c>
      <c r="Y70" s="12" t="b">
        <v>1</v>
      </c>
      <c r="Z70" s="12">
        <v>2</v>
      </c>
      <c r="AA70" s="12">
        <v>1.175</v>
      </c>
      <c r="AB70" s="12" t="s">
        <v>1394</v>
      </c>
      <c r="AC70" s="12" t="s">
        <v>1395</v>
      </c>
      <c r="AD70" s="13" t="b">
        <v>1</v>
      </c>
    </row>
    <row r="71" spans="1:30">
      <c r="A71" t="s">
        <v>270</v>
      </c>
      <c r="B71" t="s">
        <v>271</v>
      </c>
      <c r="C71" s="3" t="s">
        <v>272</v>
      </c>
      <c r="D71" t="s">
        <v>79</v>
      </c>
      <c r="E71" t="s">
        <v>20</v>
      </c>
      <c r="F71" t="s">
        <v>273</v>
      </c>
      <c r="H71" t="s">
        <v>259</v>
      </c>
      <c r="K71">
        <v>1915</v>
      </c>
      <c r="L71" t="s">
        <v>252</v>
      </c>
      <c r="M71" t="s">
        <v>24</v>
      </c>
      <c r="N71" t="s">
        <v>25</v>
      </c>
      <c r="P71" s="11" t="s">
        <v>273</v>
      </c>
      <c r="Q71" s="12" t="s">
        <v>271</v>
      </c>
      <c r="R71" s="12" t="s">
        <v>271</v>
      </c>
      <c r="S71" s="12" t="b">
        <v>1</v>
      </c>
      <c r="T71" s="12" t="b">
        <v>1</v>
      </c>
      <c r="U71" s="12">
        <v>1</v>
      </c>
      <c r="V71" s="12" t="s">
        <v>272</v>
      </c>
      <c r="W71" s="12" t="s">
        <v>272</v>
      </c>
      <c r="X71" s="12" t="b">
        <v>1</v>
      </c>
      <c r="Y71" s="12" t="b">
        <v>1</v>
      </c>
      <c r="Z71" s="12">
        <v>1</v>
      </c>
      <c r="AA71" s="12">
        <v>0.9</v>
      </c>
      <c r="AB71" s="12" t="s">
        <v>271</v>
      </c>
      <c r="AC71" s="12" t="s">
        <v>1233</v>
      </c>
      <c r="AD71" s="13" t="b">
        <v>1</v>
      </c>
    </row>
    <row r="72" spans="1:30">
      <c r="A72" t="s">
        <v>274</v>
      </c>
      <c r="B72" t="s">
        <v>275</v>
      </c>
      <c r="C72" t="s">
        <v>276</v>
      </c>
      <c r="D72" t="s">
        <v>44</v>
      </c>
      <c r="E72" t="s">
        <v>20</v>
      </c>
      <c r="F72" t="s">
        <v>277</v>
      </c>
      <c r="H72" t="s">
        <v>278</v>
      </c>
      <c r="K72">
        <v>1926</v>
      </c>
      <c r="L72" t="s">
        <v>252</v>
      </c>
      <c r="M72" t="s">
        <v>24</v>
      </c>
      <c r="N72" t="s">
        <v>31</v>
      </c>
      <c r="P72" s="11" t="s">
        <v>277</v>
      </c>
      <c r="Q72" s="12" t="s">
        <v>275</v>
      </c>
      <c r="R72" s="12" t="s">
        <v>275</v>
      </c>
      <c r="S72" s="12" t="b">
        <v>1</v>
      </c>
      <c r="T72" s="12" t="b">
        <v>1</v>
      </c>
      <c r="U72" s="12">
        <v>1</v>
      </c>
      <c r="V72" s="12" t="s">
        <v>276</v>
      </c>
      <c r="W72" s="12" t="s">
        <v>276</v>
      </c>
      <c r="X72" s="12" t="b">
        <v>1</v>
      </c>
      <c r="Y72" s="12" t="b">
        <v>1</v>
      </c>
      <c r="Z72" s="12">
        <v>1</v>
      </c>
      <c r="AA72" s="12">
        <v>1</v>
      </c>
      <c r="AB72" s="12" t="s">
        <v>275</v>
      </c>
      <c r="AC72" s="12" t="s">
        <v>1234</v>
      </c>
      <c r="AD72" s="13" t="b">
        <v>1</v>
      </c>
    </row>
    <row r="73" spans="1:30">
      <c r="A73" t="s">
        <v>279</v>
      </c>
      <c r="B73" t="s">
        <v>280</v>
      </c>
      <c r="C73" t="s">
        <v>281</v>
      </c>
      <c r="D73" t="s">
        <v>79</v>
      </c>
      <c r="E73" t="s">
        <v>20</v>
      </c>
      <c r="F73" t="s">
        <v>282</v>
      </c>
      <c r="H73" t="s">
        <v>82</v>
      </c>
      <c r="K73" t="s">
        <v>283</v>
      </c>
      <c r="L73" t="s">
        <v>252</v>
      </c>
      <c r="M73" t="s">
        <v>24</v>
      </c>
      <c r="N73" t="s">
        <v>25</v>
      </c>
      <c r="P73" s="11" t="s">
        <v>282</v>
      </c>
      <c r="Q73" s="12" t="s">
        <v>280</v>
      </c>
      <c r="R73" s="12" t="s">
        <v>280</v>
      </c>
      <c r="S73" s="12" t="b">
        <v>1</v>
      </c>
      <c r="T73" s="12" t="b">
        <v>1</v>
      </c>
      <c r="U73" s="12">
        <v>1</v>
      </c>
      <c r="V73" s="12" t="s">
        <v>281</v>
      </c>
      <c r="W73" s="12" t="s">
        <v>541</v>
      </c>
      <c r="X73" s="12" t="b">
        <v>0</v>
      </c>
      <c r="Y73" s="12" t="b">
        <v>0</v>
      </c>
      <c r="Z73" s="12">
        <v>7</v>
      </c>
      <c r="AA73" s="12">
        <v>0.98939999999999995</v>
      </c>
      <c r="AB73" s="12" t="s">
        <v>1316</v>
      </c>
      <c r="AC73" s="12" t="s">
        <v>1396</v>
      </c>
      <c r="AD73" s="13" t="b">
        <v>1</v>
      </c>
    </row>
    <row r="74" spans="1:30">
      <c r="A74" t="s">
        <v>284</v>
      </c>
      <c r="B74" t="s">
        <v>285</v>
      </c>
      <c r="C74" t="s">
        <v>286</v>
      </c>
      <c r="D74" t="s">
        <v>127</v>
      </c>
      <c r="E74" t="s">
        <v>127</v>
      </c>
      <c r="F74" t="s">
        <v>284</v>
      </c>
      <c r="H74" t="s">
        <v>127</v>
      </c>
      <c r="K74">
        <v>1766</v>
      </c>
      <c r="L74" t="s">
        <v>252</v>
      </c>
      <c r="M74" t="s">
        <v>24</v>
      </c>
      <c r="N74" t="s">
        <v>25</v>
      </c>
      <c r="P74" s="11" t="s">
        <v>284</v>
      </c>
      <c r="Q74" s="12" t="s">
        <v>285</v>
      </c>
      <c r="R74" s="12" t="s">
        <v>1034</v>
      </c>
      <c r="S74" s="12" t="b">
        <v>0</v>
      </c>
      <c r="T74" s="12" t="b">
        <v>1</v>
      </c>
      <c r="U74" s="12">
        <v>4</v>
      </c>
      <c r="V74" s="12" t="s">
        <v>286</v>
      </c>
      <c r="W74" s="12" t="s">
        <v>756</v>
      </c>
      <c r="X74" s="12" t="b">
        <v>0</v>
      </c>
      <c r="Y74" s="12" t="b">
        <v>1</v>
      </c>
      <c r="Z74" s="12">
        <v>3</v>
      </c>
      <c r="AA74" s="12">
        <v>0.97599999999999998</v>
      </c>
      <c r="AB74" s="12" t="s">
        <v>1317</v>
      </c>
      <c r="AC74" s="12" t="s">
        <v>1397</v>
      </c>
      <c r="AD74" s="13" t="b">
        <v>1</v>
      </c>
    </row>
    <row r="75" spans="1:30">
      <c r="A75" t="s">
        <v>287</v>
      </c>
      <c r="B75" t="s">
        <v>288</v>
      </c>
      <c r="C75" t="s">
        <v>289</v>
      </c>
      <c r="D75" t="s">
        <v>127</v>
      </c>
      <c r="E75" t="s">
        <v>127</v>
      </c>
      <c r="F75" t="s">
        <v>290</v>
      </c>
      <c r="H75" t="s">
        <v>127</v>
      </c>
      <c r="K75">
        <v>1687</v>
      </c>
      <c r="L75" t="s">
        <v>252</v>
      </c>
      <c r="M75" t="s">
        <v>24</v>
      </c>
      <c r="N75" t="s">
        <v>25</v>
      </c>
      <c r="P75" s="11" t="s">
        <v>290</v>
      </c>
      <c r="Q75" s="12" t="s">
        <v>288</v>
      </c>
      <c r="R75" s="12" t="s">
        <v>288</v>
      </c>
      <c r="S75" s="12" t="b">
        <v>1</v>
      </c>
      <c r="T75" s="12" t="b">
        <v>1</v>
      </c>
      <c r="U75" s="12">
        <v>1</v>
      </c>
      <c r="V75" s="12" t="s">
        <v>289</v>
      </c>
      <c r="W75" s="12" t="s">
        <v>289</v>
      </c>
      <c r="X75" s="12" t="b">
        <v>1</v>
      </c>
      <c r="Y75" s="12" t="b">
        <v>1</v>
      </c>
      <c r="Z75" s="12">
        <v>1</v>
      </c>
      <c r="AA75" s="12">
        <v>0.8155</v>
      </c>
      <c r="AB75" s="12" t="s">
        <v>288</v>
      </c>
      <c r="AC75" s="12" t="s">
        <v>1238</v>
      </c>
      <c r="AD75" s="13" t="b">
        <v>1</v>
      </c>
    </row>
    <row r="76" spans="1:30">
      <c r="A76" t="s">
        <v>291</v>
      </c>
      <c r="B76" t="s">
        <v>292</v>
      </c>
      <c r="C76" t="s">
        <v>293</v>
      </c>
      <c r="D76" t="s">
        <v>19</v>
      </c>
      <c r="E76" t="s">
        <v>20</v>
      </c>
      <c r="F76" t="s">
        <v>291</v>
      </c>
      <c r="H76" t="s">
        <v>294</v>
      </c>
      <c r="K76" t="s">
        <v>295</v>
      </c>
      <c r="L76" t="s">
        <v>252</v>
      </c>
      <c r="M76" t="s">
        <v>24</v>
      </c>
      <c r="N76" t="s">
        <v>25</v>
      </c>
      <c r="P76" s="11" t="s">
        <v>291</v>
      </c>
      <c r="Q76" s="12" t="s">
        <v>292</v>
      </c>
      <c r="R76" s="12" t="s">
        <v>292</v>
      </c>
      <c r="S76" s="12" t="b">
        <v>1</v>
      </c>
      <c r="T76" s="12" t="b">
        <v>1</v>
      </c>
      <c r="U76" s="12">
        <v>1</v>
      </c>
      <c r="V76" s="12" t="s">
        <v>293</v>
      </c>
      <c r="W76" s="12" t="s">
        <v>164</v>
      </c>
      <c r="X76" s="12" t="b">
        <v>0</v>
      </c>
      <c r="Y76" s="12" t="b">
        <v>0</v>
      </c>
      <c r="Z76" s="12">
        <v>9</v>
      </c>
      <c r="AA76" s="12">
        <v>0.9798</v>
      </c>
      <c r="AB76" s="12" t="s">
        <v>1320</v>
      </c>
      <c r="AC76" s="12" t="s">
        <v>1398</v>
      </c>
      <c r="AD76" s="13" t="b">
        <v>1</v>
      </c>
    </row>
    <row r="77" spans="1:30">
      <c r="A77" t="s">
        <v>296</v>
      </c>
      <c r="B77" t="s">
        <v>297</v>
      </c>
      <c r="C77" t="s">
        <v>298</v>
      </c>
      <c r="D77" t="s">
        <v>19</v>
      </c>
      <c r="E77" t="s">
        <v>20</v>
      </c>
      <c r="F77" t="s">
        <v>299</v>
      </c>
      <c r="H77" t="s">
        <v>300</v>
      </c>
      <c r="K77" t="s">
        <v>301</v>
      </c>
      <c r="L77" t="s">
        <v>252</v>
      </c>
      <c r="M77" t="s">
        <v>24</v>
      </c>
      <c r="N77" t="s">
        <v>25</v>
      </c>
      <c r="P77" s="11" t="s">
        <v>299</v>
      </c>
      <c r="Q77" s="12" t="s">
        <v>297</v>
      </c>
      <c r="R77" s="12" t="s">
        <v>297</v>
      </c>
      <c r="S77" s="12" t="b">
        <v>1</v>
      </c>
      <c r="T77" s="12" t="b">
        <v>1</v>
      </c>
      <c r="U77" s="12">
        <v>1</v>
      </c>
      <c r="V77" s="12" t="s">
        <v>298</v>
      </c>
      <c r="W77" s="12" t="s">
        <v>298</v>
      </c>
      <c r="X77" s="12" t="b">
        <v>1</v>
      </c>
      <c r="Y77" s="12" t="b">
        <v>1</v>
      </c>
      <c r="Z77" s="12">
        <v>1</v>
      </c>
      <c r="AA77" s="12">
        <v>0.9</v>
      </c>
      <c r="AB77" s="12" t="s">
        <v>1399</v>
      </c>
      <c r="AC77" s="12" t="s">
        <v>1400</v>
      </c>
      <c r="AD77" s="13" t="b">
        <v>1</v>
      </c>
    </row>
    <row r="78" spans="1:30">
      <c r="A78" t="s">
        <v>302</v>
      </c>
      <c r="B78" t="s">
        <v>100</v>
      </c>
      <c r="C78" t="s">
        <v>303</v>
      </c>
      <c r="D78" t="s">
        <v>79</v>
      </c>
      <c r="E78" t="s">
        <v>79</v>
      </c>
      <c r="F78" t="s">
        <v>304</v>
      </c>
      <c r="H78" t="s">
        <v>82</v>
      </c>
      <c r="K78" t="s">
        <v>305</v>
      </c>
      <c r="L78" t="s">
        <v>252</v>
      </c>
      <c r="M78" t="s">
        <v>24</v>
      </c>
      <c r="N78" t="s">
        <v>31</v>
      </c>
      <c r="P78" s="11" t="s">
        <v>304</v>
      </c>
      <c r="Q78" s="12" t="s">
        <v>100</v>
      </c>
      <c r="R78" s="12" t="s">
        <v>100</v>
      </c>
      <c r="S78" s="12" t="b">
        <v>1</v>
      </c>
      <c r="T78" s="12" t="b">
        <v>1</v>
      </c>
      <c r="U78" s="12">
        <v>1</v>
      </c>
      <c r="V78" s="12" t="s">
        <v>303</v>
      </c>
      <c r="W78" s="12" t="s">
        <v>670</v>
      </c>
      <c r="X78" s="12" t="b">
        <v>0</v>
      </c>
      <c r="Y78" s="12" t="b">
        <v>0</v>
      </c>
      <c r="Z78" s="12">
        <v>7</v>
      </c>
      <c r="AA78" s="12">
        <v>1</v>
      </c>
      <c r="AB78" s="12" t="s">
        <v>1324</v>
      </c>
      <c r="AC78" s="12" t="s">
        <v>1244</v>
      </c>
      <c r="AD78" s="13" t="b">
        <v>1</v>
      </c>
    </row>
    <row r="79" spans="1:30">
      <c r="A79" t="s">
        <v>306</v>
      </c>
      <c r="B79" t="s">
        <v>307</v>
      </c>
      <c r="C79" t="s">
        <v>308</v>
      </c>
      <c r="D79" t="s">
        <v>19</v>
      </c>
      <c r="E79" t="s">
        <v>20</v>
      </c>
      <c r="F79" t="s">
        <v>309</v>
      </c>
      <c r="H79" t="s">
        <v>310</v>
      </c>
      <c r="K79" t="s">
        <v>311</v>
      </c>
      <c r="L79" t="s">
        <v>252</v>
      </c>
      <c r="M79" t="s">
        <v>24</v>
      </c>
      <c r="N79" t="s">
        <v>25</v>
      </c>
      <c r="P79" s="11" t="s">
        <v>309</v>
      </c>
      <c r="Q79" s="12" t="s">
        <v>307</v>
      </c>
      <c r="R79" s="12" t="s">
        <v>307</v>
      </c>
      <c r="S79" s="12" t="b">
        <v>1</v>
      </c>
      <c r="T79" s="12" t="b">
        <v>1</v>
      </c>
      <c r="U79" s="12">
        <v>1</v>
      </c>
      <c r="V79" s="12" t="s">
        <v>308</v>
      </c>
      <c r="W79" s="12" t="s">
        <v>1360</v>
      </c>
      <c r="X79" s="12" t="b">
        <v>0</v>
      </c>
      <c r="Y79" s="12" t="b">
        <v>1</v>
      </c>
      <c r="Z79" s="12">
        <v>2</v>
      </c>
      <c r="AA79" s="12">
        <v>1</v>
      </c>
      <c r="AB79" s="12" t="s">
        <v>1401</v>
      </c>
      <c r="AC79" s="12" t="s">
        <v>1402</v>
      </c>
      <c r="AD79" s="13" t="b">
        <v>1</v>
      </c>
    </row>
    <row r="80" spans="1:30">
      <c r="A80" t="s">
        <v>184</v>
      </c>
      <c r="B80" t="s">
        <v>185</v>
      </c>
      <c r="C80" t="s">
        <v>186</v>
      </c>
      <c r="D80" t="s">
        <v>19</v>
      </c>
      <c r="E80" t="s">
        <v>20</v>
      </c>
      <c r="F80" t="s">
        <v>185</v>
      </c>
      <c r="L80" t="s">
        <v>312</v>
      </c>
      <c r="M80" t="s">
        <v>24</v>
      </c>
      <c r="N80" t="s">
        <v>25</v>
      </c>
      <c r="P80" s="11" t="s">
        <v>185</v>
      </c>
      <c r="Q80" s="12" t="s">
        <v>185</v>
      </c>
      <c r="R80" s="12" t="s">
        <v>185</v>
      </c>
      <c r="S80" s="12" t="b">
        <v>1</v>
      </c>
      <c r="T80" s="12" t="b">
        <v>1</v>
      </c>
      <c r="U80" s="12">
        <v>1</v>
      </c>
      <c r="V80" s="12" t="s">
        <v>186</v>
      </c>
      <c r="W80" s="12" t="s">
        <v>186</v>
      </c>
      <c r="X80" s="12" t="b">
        <v>1</v>
      </c>
      <c r="Y80" s="12" t="b">
        <v>1</v>
      </c>
      <c r="Z80" s="12">
        <v>1</v>
      </c>
      <c r="AA80" s="12">
        <v>0.98780000000000001</v>
      </c>
      <c r="AB80" s="12" t="s">
        <v>1403</v>
      </c>
      <c r="AC80" s="12" t="s">
        <v>1404</v>
      </c>
      <c r="AD80" s="13" t="b">
        <v>1</v>
      </c>
    </row>
    <row r="81" spans="1:30">
      <c r="A81" t="s">
        <v>313</v>
      </c>
      <c r="B81" t="s">
        <v>221</v>
      </c>
      <c r="C81" t="s">
        <v>314</v>
      </c>
      <c r="D81" t="s">
        <v>127</v>
      </c>
      <c r="E81" t="s">
        <v>127</v>
      </c>
      <c r="F81" t="s">
        <v>221</v>
      </c>
      <c r="L81" t="s">
        <v>312</v>
      </c>
      <c r="M81" t="s">
        <v>24</v>
      </c>
      <c r="N81" t="s">
        <v>25</v>
      </c>
      <c r="P81" s="11" t="s">
        <v>221</v>
      </c>
      <c r="Q81" s="12" t="s">
        <v>221</v>
      </c>
      <c r="R81" s="12" t="s">
        <v>221</v>
      </c>
      <c r="S81" s="12" t="b">
        <v>1</v>
      </c>
      <c r="T81" s="12" t="b">
        <v>1</v>
      </c>
      <c r="U81" s="12">
        <v>1</v>
      </c>
      <c r="V81" s="12" t="s">
        <v>314</v>
      </c>
      <c r="W81" s="12" t="s">
        <v>560</v>
      </c>
      <c r="X81" s="12" t="b">
        <v>0</v>
      </c>
      <c r="Y81" s="12" t="b">
        <v>1</v>
      </c>
      <c r="Z81" s="12">
        <v>4</v>
      </c>
      <c r="AA81" s="12">
        <v>1</v>
      </c>
      <c r="AB81" s="12" t="s">
        <v>221</v>
      </c>
      <c r="AC81" s="12" t="s">
        <v>1248</v>
      </c>
      <c r="AD81" s="13" t="b">
        <v>1</v>
      </c>
    </row>
    <row r="82" spans="1:30">
      <c r="A82" t="s">
        <v>315</v>
      </c>
      <c r="B82" t="s">
        <v>316</v>
      </c>
      <c r="C82" t="s">
        <v>317</v>
      </c>
      <c r="D82" t="s">
        <v>44</v>
      </c>
      <c r="E82" t="s">
        <v>20</v>
      </c>
      <c r="F82" t="s">
        <v>316</v>
      </c>
      <c r="L82" t="s">
        <v>312</v>
      </c>
      <c r="M82" t="s">
        <v>24</v>
      </c>
      <c r="N82" t="s">
        <v>25</v>
      </c>
      <c r="P82" s="11" t="s">
        <v>316</v>
      </c>
      <c r="Q82" s="12" t="s">
        <v>316</v>
      </c>
      <c r="R82" s="12" t="s">
        <v>316</v>
      </c>
      <c r="S82" s="12" t="b">
        <v>1</v>
      </c>
      <c r="T82" s="12" t="b">
        <v>1</v>
      </c>
      <c r="U82" s="12">
        <v>1</v>
      </c>
      <c r="V82" s="12" t="s">
        <v>317</v>
      </c>
      <c r="W82" s="12" t="s">
        <v>562</v>
      </c>
      <c r="X82" s="12" t="b">
        <v>0</v>
      </c>
      <c r="Y82" s="12" t="b">
        <v>1</v>
      </c>
      <c r="Z82" s="12">
        <v>4</v>
      </c>
      <c r="AA82" s="12">
        <v>1</v>
      </c>
      <c r="AB82" s="12" t="s">
        <v>1322</v>
      </c>
      <c r="AC82" s="12" t="s">
        <v>1249</v>
      </c>
      <c r="AD82" s="13" t="b">
        <v>1</v>
      </c>
    </row>
    <row r="83" spans="1:30">
      <c r="A83" t="s">
        <v>318</v>
      </c>
      <c r="B83" t="s">
        <v>316</v>
      </c>
      <c r="C83" t="s">
        <v>319</v>
      </c>
      <c r="D83" t="s">
        <v>127</v>
      </c>
      <c r="E83" t="s">
        <v>127</v>
      </c>
      <c r="F83" t="s">
        <v>316</v>
      </c>
      <c r="L83" t="s">
        <v>312</v>
      </c>
      <c r="M83" t="s">
        <v>24</v>
      </c>
      <c r="N83" t="s">
        <v>25</v>
      </c>
      <c r="P83" s="11" t="s">
        <v>316</v>
      </c>
      <c r="Q83" s="12" t="s">
        <v>316</v>
      </c>
      <c r="R83" s="12" t="s">
        <v>316</v>
      </c>
      <c r="S83" s="12" t="b">
        <v>1</v>
      </c>
      <c r="T83" s="12" t="b">
        <v>1</v>
      </c>
      <c r="U83" s="12">
        <v>1</v>
      </c>
      <c r="V83" s="12" t="s">
        <v>319</v>
      </c>
      <c r="W83" s="12" t="s">
        <v>562</v>
      </c>
      <c r="X83" s="12" t="b">
        <v>0</v>
      </c>
      <c r="Y83" s="12" t="b">
        <v>1</v>
      </c>
      <c r="Z83" s="12">
        <v>5</v>
      </c>
      <c r="AA83" s="12">
        <v>1</v>
      </c>
      <c r="AB83" s="12" t="s">
        <v>1322</v>
      </c>
      <c r="AC83" s="12" t="s">
        <v>1249</v>
      </c>
      <c r="AD83" s="13" t="b">
        <v>1</v>
      </c>
    </row>
    <row r="84" spans="1:30">
      <c r="A84" t="s">
        <v>320</v>
      </c>
      <c r="B84" t="s">
        <v>321</v>
      </c>
      <c r="C84" t="s">
        <v>322</v>
      </c>
      <c r="D84" t="s">
        <v>127</v>
      </c>
      <c r="E84" t="s">
        <v>127</v>
      </c>
      <c r="F84" t="s">
        <v>321</v>
      </c>
      <c r="L84" t="s">
        <v>312</v>
      </c>
      <c r="M84" t="s">
        <v>24</v>
      </c>
      <c r="N84" t="s">
        <v>25</v>
      </c>
      <c r="P84" s="11" t="s">
        <v>321</v>
      </c>
      <c r="Q84" s="12" t="s">
        <v>321</v>
      </c>
      <c r="R84" s="12" t="s">
        <v>321</v>
      </c>
      <c r="S84" s="12" t="b">
        <v>1</v>
      </c>
      <c r="T84" s="12" t="b">
        <v>1</v>
      </c>
      <c r="U84" s="12">
        <v>1</v>
      </c>
      <c r="V84" s="12" t="s">
        <v>322</v>
      </c>
      <c r="W84" s="12" t="s">
        <v>322</v>
      </c>
      <c r="X84" s="12" t="b">
        <v>1</v>
      </c>
      <c r="Y84" s="12" t="b">
        <v>1</v>
      </c>
      <c r="Z84" s="12">
        <v>1</v>
      </c>
      <c r="AA84" s="12">
        <v>1</v>
      </c>
      <c r="AB84" s="12" t="s">
        <v>1405</v>
      </c>
      <c r="AC84" s="12" t="s">
        <v>1406</v>
      </c>
      <c r="AD84" s="13" t="b">
        <v>1</v>
      </c>
    </row>
    <row r="85" spans="1:30">
      <c r="A85" t="s">
        <v>324</v>
      </c>
      <c r="B85" t="s">
        <v>148</v>
      </c>
      <c r="C85" t="s">
        <v>325</v>
      </c>
      <c r="D85" t="s">
        <v>79</v>
      </c>
      <c r="E85" t="s">
        <v>20</v>
      </c>
      <c r="F85" t="s">
        <v>148</v>
      </c>
      <c r="L85" t="s">
        <v>312</v>
      </c>
      <c r="M85" t="s">
        <v>24</v>
      </c>
      <c r="N85" t="s">
        <v>25</v>
      </c>
      <c r="P85" s="11" t="s">
        <v>148</v>
      </c>
      <c r="Q85" s="12" t="s">
        <v>148</v>
      </c>
      <c r="R85" s="12" t="s">
        <v>148</v>
      </c>
      <c r="S85" s="12" t="b">
        <v>1</v>
      </c>
      <c r="T85" s="12" t="b">
        <v>1</v>
      </c>
      <c r="U85" s="12">
        <v>1</v>
      </c>
      <c r="V85" s="12" t="s">
        <v>325</v>
      </c>
      <c r="W85" s="12" t="s">
        <v>149</v>
      </c>
      <c r="X85" s="12" t="b">
        <v>0</v>
      </c>
      <c r="Y85" s="12" t="b">
        <v>1</v>
      </c>
      <c r="Z85" s="12">
        <v>4</v>
      </c>
      <c r="AA85" s="12">
        <v>0.89759999999999995</v>
      </c>
      <c r="AB85" s="12" t="s">
        <v>1026</v>
      </c>
      <c r="AC85" s="12" t="s">
        <v>1180</v>
      </c>
      <c r="AD85" s="13" t="b">
        <v>1</v>
      </c>
    </row>
    <row r="86" spans="1:30">
      <c r="A86" t="s">
        <v>326</v>
      </c>
      <c r="B86" t="s">
        <v>100</v>
      </c>
      <c r="C86" t="s">
        <v>101</v>
      </c>
      <c r="D86" t="s">
        <v>44</v>
      </c>
      <c r="E86" t="s">
        <v>20</v>
      </c>
      <c r="F86" t="s">
        <v>100</v>
      </c>
      <c r="L86" t="s">
        <v>312</v>
      </c>
      <c r="M86" t="s">
        <v>24</v>
      </c>
      <c r="N86" t="s">
        <v>25</v>
      </c>
      <c r="P86" s="11" t="s">
        <v>100</v>
      </c>
      <c r="Q86" s="12" t="s">
        <v>100</v>
      </c>
      <c r="R86" s="12" t="s">
        <v>100</v>
      </c>
      <c r="S86" s="12" t="b">
        <v>1</v>
      </c>
      <c r="T86" s="12" t="b">
        <v>1</v>
      </c>
      <c r="U86" s="12">
        <v>1</v>
      </c>
      <c r="V86" s="12" t="s">
        <v>101</v>
      </c>
      <c r="W86" s="12" t="s">
        <v>554</v>
      </c>
      <c r="X86" s="12" t="b">
        <v>0</v>
      </c>
      <c r="Y86" s="12" t="b">
        <v>1</v>
      </c>
      <c r="Z86" s="12">
        <v>4</v>
      </c>
      <c r="AA86" s="12">
        <v>1</v>
      </c>
      <c r="AB86" s="12" t="s">
        <v>1324</v>
      </c>
      <c r="AC86" s="12" t="s">
        <v>1251</v>
      </c>
      <c r="AD86" s="13" t="b">
        <v>1</v>
      </c>
    </row>
    <row r="87" spans="1:30">
      <c r="A87" t="s">
        <v>199</v>
      </c>
      <c r="B87" t="s">
        <v>200</v>
      </c>
      <c r="C87" t="s">
        <v>201</v>
      </c>
      <c r="D87" t="s">
        <v>19</v>
      </c>
      <c r="E87" t="s">
        <v>20</v>
      </c>
      <c r="F87" t="s">
        <v>200</v>
      </c>
      <c r="L87" t="s">
        <v>312</v>
      </c>
      <c r="M87" t="s">
        <v>24</v>
      </c>
      <c r="N87" t="s">
        <v>25</v>
      </c>
      <c r="P87" s="11" t="s">
        <v>200</v>
      </c>
      <c r="Q87" s="12" t="s">
        <v>200</v>
      </c>
      <c r="R87" s="12" t="s">
        <v>200</v>
      </c>
      <c r="S87" s="12" t="b">
        <v>1</v>
      </c>
      <c r="T87" s="12" t="b">
        <v>1</v>
      </c>
      <c r="U87" s="12">
        <v>1</v>
      </c>
      <c r="V87" s="12" t="s">
        <v>201</v>
      </c>
      <c r="W87" s="12" t="s">
        <v>201</v>
      </c>
      <c r="X87" s="12" t="b">
        <v>1</v>
      </c>
      <c r="Y87" s="12" t="b">
        <v>1</v>
      </c>
      <c r="Z87" s="12">
        <v>1</v>
      </c>
      <c r="AA87" s="12">
        <v>0.95199999999999996</v>
      </c>
      <c r="AB87" s="12" t="s">
        <v>200</v>
      </c>
      <c r="AC87" s="12" t="s">
        <v>1203</v>
      </c>
      <c r="AD87" s="13" t="b">
        <v>1</v>
      </c>
    </row>
    <row r="88" spans="1:30">
      <c r="A88" t="s">
        <v>327</v>
      </c>
      <c r="B88" t="s">
        <v>328</v>
      </c>
      <c r="C88" t="s">
        <v>329</v>
      </c>
      <c r="D88" t="s">
        <v>127</v>
      </c>
      <c r="E88" t="s">
        <v>127</v>
      </c>
      <c r="F88" t="s">
        <v>328</v>
      </c>
      <c r="L88" t="s">
        <v>312</v>
      </c>
      <c r="M88" t="s">
        <v>24</v>
      </c>
      <c r="N88" t="s">
        <v>25</v>
      </c>
      <c r="P88" s="11" t="s">
        <v>328</v>
      </c>
      <c r="Q88" s="12" t="s">
        <v>328</v>
      </c>
      <c r="R88" s="12" t="s">
        <v>328</v>
      </c>
      <c r="S88" s="12" t="b">
        <v>1</v>
      </c>
      <c r="T88" s="12" t="b">
        <v>1</v>
      </c>
      <c r="U88" s="12">
        <v>1</v>
      </c>
      <c r="V88" s="12" t="s">
        <v>329</v>
      </c>
      <c r="W88" s="12" t="s">
        <v>329</v>
      </c>
      <c r="X88" s="12" t="b">
        <v>1</v>
      </c>
      <c r="Y88" s="12" t="b">
        <v>1</v>
      </c>
      <c r="Z88" s="12">
        <v>1</v>
      </c>
      <c r="AA88" s="12">
        <v>1</v>
      </c>
      <c r="AB88" s="12" t="s">
        <v>328</v>
      </c>
      <c r="AC88" s="12" t="s">
        <v>1252</v>
      </c>
      <c r="AD88" s="13" t="b">
        <v>1</v>
      </c>
    </row>
    <row r="89" spans="1:30">
      <c r="A89" t="s">
        <v>330</v>
      </c>
      <c r="B89" t="s">
        <v>331</v>
      </c>
      <c r="C89" t="s">
        <v>332</v>
      </c>
      <c r="D89" t="s">
        <v>79</v>
      </c>
      <c r="E89" t="s">
        <v>20</v>
      </c>
      <c r="G89" t="s">
        <v>330</v>
      </c>
      <c r="L89" t="s">
        <v>334</v>
      </c>
      <c r="M89" t="s">
        <v>24</v>
      </c>
      <c r="N89" t="s">
        <v>31</v>
      </c>
      <c r="P89" s="11" t="s">
        <v>330</v>
      </c>
      <c r="Q89" s="12" t="s">
        <v>331</v>
      </c>
      <c r="R89" s="12" t="s">
        <v>1407</v>
      </c>
      <c r="S89" s="12" t="b">
        <v>0</v>
      </c>
      <c r="T89" s="12" t="b">
        <v>1</v>
      </c>
      <c r="U89" s="12">
        <v>4</v>
      </c>
      <c r="V89" s="12" t="s">
        <v>332</v>
      </c>
      <c r="W89" s="12" t="s">
        <v>332</v>
      </c>
      <c r="X89" s="12" t="b">
        <v>1</v>
      </c>
      <c r="Y89" s="12" t="b">
        <v>1</v>
      </c>
      <c r="Z89" s="12">
        <v>1</v>
      </c>
      <c r="AA89" s="12">
        <v>0.84379999999999999</v>
      </c>
      <c r="AB89" s="12" t="s">
        <v>1408</v>
      </c>
      <c r="AC89" s="12" t="s">
        <v>1409</v>
      </c>
      <c r="AD89" s="13" t="b">
        <v>1</v>
      </c>
    </row>
    <row r="90" spans="1:30">
      <c r="A90" t="s">
        <v>335</v>
      </c>
      <c r="B90" t="s">
        <v>335</v>
      </c>
      <c r="C90" t="s">
        <v>336</v>
      </c>
      <c r="D90" t="s">
        <v>79</v>
      </c>
      <c r="E90" t="s">
        <v>20</v>
      </c>
      <c r="G90" t="s">
        <v>338</v>
      </c>
      <c r="L90" t="s">
        <v>334</v>
      </c>
      <c r="M90" t="s">
        <v>24</v>
      </c>
      <c r="N90" t="s">
        <v>31</v>
      </c>
      <c r="P90" s="11" t="s">
        <v>338</v>
      </c>
      <c r="Q90" s="12" t="s">
        <v>335</v>
      </c>
      <c r="R90" s="12" t="s">
        <v>595</v>
      </c>
      <c r="S90" s="12" t="b">
        <v>0</v>
      </c>
      <c r="T90" s="12" t="b">
        <v>1</v>
      </c>
      <c r="U90" s="12">
        <v>2</v>
      </c>
      <c r="V90" s="12" t="s">
        <v>336</v>
      </c>
      <c r="W90" s="12" t="s">
        <v>336</v>
      </c>
      <c r="X90" s="12" t="b">
        <v>1</v>
      </c>
      <c r="Y90" s="12" t="b">
        <v>1</v>
      </c>
      <c r="Z90" s="12">
        <v>1</v>
      </c>
      <c r="AA90" s="12">
        <v>1.1367</v>
      </c>
      <c r="AB90" s="12" t="s">
        <v>1410</v>
      </c>
      <c r="AC90" s="12" t="s">
        <v>1411</v>
      </c>
      <c r="AD90" s="13" t="b">
        <v>1</v>
      </c>
    </row>
    <row r="91" spans="1:30">
      <c r="A91" t="s">
        <v>339</v>
      </c>
      <c r="B91" t="s">
        <v>340</v>
      </c>
      <c r="C91" t="s">
        <v>341</v>
      </c>
      <c r="D91" t="s">
        <v>127</v>
      </c>
      <c r="E91" t="s">
        <v>127</v>
      </c>
      <c r="G91" t="s">
        <v>342</v>
      </c>
      <c r="L91" t="s">
        <v>334</v>
      </c>
      <c r="M91" t="s">
        <v>24</v>
      </c>
      <c r="N91" t="s">
        <v>31</v>
      </c>
      <c r="P91" s="11" t="s">
        <v>342</v>
      </c>
      <c r="Q91" s="12" t="s">
        <v>340</v>
      </c>
      <c r="R91" s="12" t="s">
        <v>340</v>
      </c>
      <c r="S91" s="12" t="b">
        <v>1</v>
      </c>
      <c r="T91" s="12" t="b">
        <v>1</v>
      </c>
      <c r="U91" s="12">
        <v>1</v>
      </c>
      <c r="V91" s="12" t="s">
        <v>341</v>
      </c>
      <c r="W91" s="12" t="s">
        <v>341</v>
      </c>
      <c r="X91" s="12" t="b">
        <v>1</v>
      </c>
      <c r="Y91" s="12" t="b">
        <v>1</v>
      </c>
      <c r="Z91" s="12">
        <v>1</v>
      </c>
      <c r="AA91" s="12">
        <v>1.2</v>
      </c>
      <c r="AB91" s="12" t="s">
        <v>340</v>
      </c>
      <c r="AC91" s="12" t="s">
        <v>341</v>
      </c>
      <c r="AD91" s="13" t="b">
        <v>1</v>
      </c>
    </row>
    <row r="92" spans="1:30">
      <c r="A92" t="s">
        <v>343</v>
      </c>
      <c r="B92" t="s">
        <v>344</v>
      </c>
      <c r="C92" t="s">
        <v>345</v>
      </c>
      <c r="D92" t="s">
        <v>19</v>
      </c>
      <c r="E92" t="s">
        <v>20</v>
      </c>
      <c r="F92" s="42" t="s">
        <v>346</v>
      </c>
      <c r="G92" t="s">
        <v>347</v>
      </c>
      <c r="L92" t="s">
        <v>334</v>
      </c>
      <c r="M92" t="s">
        <v>24</v>
      </c>
      <c r="N92" t="s">
        <v>25</v>
      </c>
      <c r="P92" s="11" t="s">
        <v>347</v>
      </c>
      <c r="Q92" s="12" t="s">
        <v>344</v>
      </c>
      <c r="R92" s="12" t="s">
        <v>344</v>
      </c>
      <c r="S92" s="12" t="b">
        <v>1</v>
      </c>
      <c r="T92" s="12" t="b">
        <v>1</v>
      </c>
      <c r="U92" s="12">
        <v>1</v>
      </c>
      <c r="V92" s="12" t="s">
        <v>345</v>
      </c>
      <c r="W92" s="12" t="s">
        <v>574</v>
      </c>
      <c r="X92" s="12" t="b">
        <v>0</v>
      </c>
      <c r="Y92" s="12" t="b">
        <v>1</v>
      </c>
      <c r="Z92" s="12">
        <v>2</v>
      </c>
      <c r="AA92" s="12">
        <v>1.0760000000000001</v>
      </c>
      <c r="AB92" s="12" t="s">
        <v>1412</v>
      </c>
      <c r="AC92" s="12" t="s">
        <v>1413</v>
      </c>
      <c r="AD92" s="13" t="b">
        <v>1</v>
      </c>
    </row>
    <row r="93" spans="1:30">
      <c r="A93" t="s">
        <v>348</v>
      </c>
      <c r="B93" t="s">
        <v>349</v>
      </c>
      <c r="C93" t="s">
        <v>350</v>
      </c>
      <c r="D93" t="s">
        <v>127</v>
      </c>
      <c r="E93" t="s">
        <v>127</v>
      </c>
      <c r="F93" s="41" t="s">
        <v>351</v>
      </c>
      <c r="G93" t="s">
        <v>352</v>
      </c>
      <c r="L93" t="s">
        <v>334</v>
      </c>
      <c r="M93" t="s">
        <v>24</v>
      </c>
      <c r="N93" t="s">
        <v>25</v>
      </c>
      <c r="P93" s="11" t="s">
        <v>352</v>
      </c>
      <c r="Q93" s="12" t="s">
        <v>349</v>
      </c>
      <c r="R93" s="12" t="s">
        <v>349</v>
      </c>
      <c r="S93" s="12" t="b">
        <v>1</v>
      </c>
      <c r="T93" s="12" t="b">
        <v>1</v>
      </c>
      <c r="U93" s="12">
        <v>1</v>
      </c>
      <c r="V93" s="12" t="s">
        <v>350</v>
      </c>
      <c r="W93" s="12" t="s">
        <v>350</v>
      </c>
      <c r="X93" s="12" t="b">
        <v>1</v>
      </c>
      <c r="Y93" s="12" t="b">
        <v>1</v>
      </c>
      <c r="Z93" s="12">
        <v>1</v>
      </c>
      <c r="AA93" s="12">
        <v>1.2</v>
      </c>
      <c r="AB93" s="12" t="s">
        <v>1414</v>
      </c>
      <c r="AC93" s="12" t="s">
        <v>1415</v>
      </c>
      <c r="AD93" s="13" t="b">
        <v>1</v>
      </c>
    </row>
    <row r="94" spans="1:30">
      <c r="A94" t="s">
        <v>353</v>
      </c>
      <c r="B94" t="s">
        <v>241</v>
      </c>
      <c r="C94" t="s">
        <v>242</v>
      </c>
      <c r="D94" t="s">
        <v>19</v>
      </c>
      <c r="E94" t="s">
        <v>20</v>
      </c>
      <c r="G94" t="s">
        <v>355</v>
      </c>
      <c r="L94" t="s">
        <v>334</v>
      </c>
      <c r="M94" t="s">
        <v>24</v>
      </c>
      <c r="N94" t="s">
        <v>31</v>
      </c>
      <c r="P94" s="11" t="s">
        <v>355</v>
      </c>
      <c r="Q94" s="12" t="s">
        <v>241</v>
      </c>
      <c r="R94" s="12" t="s">
        <v>241</v>
      </c>
      <c r="S94" s="12" t="b">
        <v>1</v>
      </c>
      <c r="T94" s="12" t="b">
        <v>1</v>
      </c>
      <c r="U94" s="12">
        <v>1</v>
      </c>
      <c r="V94" s="12" t="s">
        <v>242</v>
      </c>
      <c r="W94" s="12" t="s">
        <v>1258</v>
      </c>
      <c r="X94" s="12" t="b">
        <v>0</v>
      </c>
      <c r="Y94" s="12" t="b">
        <v>1</v>
      </c>
      <c r="Z94" s="12">
        <v>3</v>
      </c>
      <c r="AA94" s="12">
        <v>0.94679999999999997</v>
      </c>
      <c r="AB94" s="12" t="s">
        <v>1328</v>
      </c>
      <c r="AC94" s="12" t="s">
        <v>1416</v>
      </c>
      <c r="AD94" s="13" t="b">
        <v>1</v>
      </c>
    </row>
    <row r="95" spans="1:30">
      <c r="A95" s="2" t="s">
        <v>356</v>
      </c>
      <c r="B95" s="2" t="s">
        <v>266</v>
      </c>
      <c r="C95" s="2" t="s">
        <v>357</v>
      </c>
      <c r="D95" s="2" t="s">
        <v>79</v>
      </c>
      <c r="E95" s="2" t="s">
        <v>20</v>
      </c>
      <c r="F95" s="2"/>
      <c r="G95" s="2" t="s">
        <v>358</v>
      </c>
      <c r="H95" s="2"/>
      <c r="I95" s="2"/>
      <c r="J95" s="2"/>
      <c r="K95" s="2"/>
      <c r="L95" s="2" t="s">
        <v>334</v>
      </c>
      <c r="M95" s="2" t="s">
        <v>24</v>
      </c>
      <c r="N95" s="2" t="s">
        <v>49</v>
      </c>
      <c r="O95" s="2"/>
      <c r="P95" s="11" t="s">
        <v>358</v>
      </c>
      <c r="Q95" s="12" t="s">
        <v>266</v>
      </c>
      <c r="R95" s="12" t="s">
        <v>1407</v>
      </c>
      <c r="S95" s="12" t="b">
        <v>0</v>
      </c>
      <c r="T95" s="12" t="b">
        <v>1</v>
      </c>
      <c r="U95" s="12">
        <v>4</v>
      </c>
      <c r="V95" s="12" t="s">
        <v>357</v>
      </c>
      <c r="W95" s="12" t="s">
        <v>1417</v>
      </c>
      <c r="X95" s="12" t="b">
        <v>0</v>
      </c>
      <c r="Y95" s="12" t="b">
        <v>1</v>
      </c>
      <c r="Z95" s="12">
        <v>5</v>
      </c>
      <c r="AA95" s="12">
        <v>0.84379999999999999</v>
      </c>
      <c r="AB95" s="12" t="s">
        <v>1418</v>
      </c>
      <c r="AC95" s="12" t="s">
        <v>1419</v>
      </c>
      <c r="AD95" s="13" t="b">
        <v>1</v>
      </c>
    </row>
    <row r="96" spans="1:30">
      <c r="A96" t="s">
        <v>359</v>
      </c>
      <c r="B96" t="s">
        <v>360</v>
      </c>
      <c r="C96" t="s">
        <v>361</v>
      </c>
      <c r="D96" t="s">
        <v>127</v>
      </c>
      <c r="E96" t="s">
        <v>127</v>
      </c>
      <c r="F96" s="41" t="s">
        <v>362</v>
      </c>
      <c r="G96" t="s">
        <v>363</v>
      </c>
      <c r="L96" t="s">
        <v>334</v>
      </c>
      <c r="M96" t="s">
        <v>24</v>
      </c>
      <c r="N96" t="s">
        <v>25</v>
      </c>
      <c r="P96" s="11" t="s">
        <v>363</v>
      </c>
      <c r="Q96" s="12" t="s">
        <v>360</v>
      </c>
      <c r="R96" s="12" t="s">
        <v>1034</v>
      </c>
      <c r="S96" s="12" t="b">
        <v>0</v>
      </c>
      <c r="T96" s="12" t="b">
        <v>1</v>
      </c>
      <c r="U96" s="12">
        <v>4</v>
      </c>
      <c r="V96" s="12" t="s">
        <v>361</v>
      </c>
      <c r="W96" s="12" t="s">
        <v>756</v>
      </c>
      <c r="X96" s="12" t="b">
        <v>0</v>
      </c>
      <c r="Y96" s="12" t="b">
        <v>1</v>
      </c>
      <c r="Z96" s="12">
        <v>3</v>
      </c>
      <c r="AA96" s="12">
        <v>0.97599999999999998</v>
      </c>
      <c r="AB96" s="12" t="s">
        <v>1420</v>
      </c>
      <c r="AC96" s="12" t="s">
        <v>1421</v>
      </c>
      <c r="AD96" s="13" t="b">
        <v>1</v>
      </c>
    </row>
    <row r="97" spans="1:30">
      <c r="A97" t="s">
        <v>364</v>
      </c>
      <c r="B97" t="s">
        <v>365</v>
      </c>
      <c r="C97" t="s">
        <v>366</v>
      </c>
      <c r="D97" t="s">
        <v>19</v>
      </c>
      <c r="E97" t="s">
        <v>20</v>
      </c>
      <c r="F97" s="41" t="s">
        <v>1422</v>
      </c>
      <c r="G97" t="s">
        <v>368</v>
      </c>
      <c r="L97" t="s">
        <v>334</v>
      </c>
      <c r="M97" t="s">
        <v>24</v>
      </c>
      <c r="N97" t="s">
        <v>25</v>
      </c>
      <c r="P97" s="11" t="s">
        <v>368</v>
      </c>
      <c r="Q97" s="12" t="s">
        <v>365</v>
      </c>
      <c r="R97" s="12" t="s">
        <v>328</v>
      </c>
      <c r="S97" s="12" t="b">
        <v>0</v>
      </c>
      <c r="T97" s="12" t="b">
        <v>1</v>
      </c>
      <c r="U97" s="12">
        <v>4</v>
      </c>
      <c r="V97" s="12" t="s">
        <v>366</v>
      </c>
      <c r="W97" s="12" t="s">
        <v>1329</v>
      </c>
      <c r="X97" s="12" t="b">
        <v>0</v>
      </c>
      <c r="Y97" s="12" t="b">
        <v>0</v>
      </c>
      <c r="Z97" s="12">
        <v>23</v>
      </c>
      <c r="AA97" s="12">
        <v>0.7732</v>
      </c>
      <c r="AB97" s="12" t="s">
        <v>1423</v>
      </c>
      <c r="AC97" s="12" t="s">
        <v>1424</v>
      </c>
      <c r="AD97" s="13" t="b">
        <v>1</v>
      </c>
    </row>
    <row r="98" spans="1:30">
      <c r="A98" t="s">
        <v>37</v>
      </c>
      <c r="B98" t="s">
        <v>38</v>
      </c>
      <c r="C98" t="s">
        <v>369</v>
      </c>
      <c r="D98" t="s">
        <v>127</v>
      </c>
      <c r="E98" t="s">
        <v>127</v>
      </c>
      <c r="G98" t="s">
        <v>371</v>
      </c>
      <c r="L98" t="s">
        <v>372</v>
      </c>
      <c r="M98" t="s">
        <v>24</v>
      </c>
      <c r="N98" t="s">
        <v>31</v>
      </c>
      <c r="P98" s="11" t="s">
        <v>371</v>
      </c>
      <c r="Q98" s="12" t="s">
        <v>38</v>
      </c>
      <c r="R98" s="12" t="s">
        <v>1425</v>
      </c>
      <c r="S98" s="12" t="b">
        <v>0</v>
      </c>
      <c r="T98" s="12" t="b">
        <v>1</v>
      </c>
      <c r="U98" s="12">
        <v>5</v>
      </c>
      <c r="V98" s="12" t="s">
        <v>369</v>
      </c>
      <c r="W98" s="12" t="s">
        <v>369</v>
      </c>
      <c r="X98" s="12" t="b">
        <v>1</v>
      </c>
      <c r="Y98" s="12" t="b">
        <v>1</v>
      </c>
      <c r="Z98" s="12">
        <v>1</v>
      </c>
      <c r="AA98" s="12">
        <v>0.9012</v>
      </c>
      <c r="AB98" s="12" t="s">
        <v>1426</v>
      </c>
      <c r="AC98" s="12" t="s">
        <v>1427</v>
      </c>
      <c r="AD98" s="13" t="b">
        <v>1</v>
      </c>
    </row>
    <row r="99" spans="1:30">
      <c r="A99" t="s">
        <v>373</v>
      </c>
      <c r="B99" t="s">
        <v>271</v>
      </c>
      <c r="C99" t="s">
        <v>374</v>
      </c>
      <c r="D99" t="s">
        <v>127</v>
      </c>
      <c r="E99" t="s">
        <v>127</v>
      </c>
      <c r="G99" t="s">
        <v>375</v>
      </c>
      <c r="L99" t="s">
        <v>372</v>
      </c>
      <c r="M99" t="s">
        <v>24</v>
      </c>
      <c r="N99" t="s">
        <v>25</v>
      </c>
      <c r="P99" s="11" t="s">
        <v>375</v>
      </c>
      <c r="Q99" s="12" t="s">
        <v>271</v>
      </c>
      <c r="R99" s="12" t="s">
        <v>271</v>
      </c>
      <c r="S99" s="12" t="b">
        <v>1</v>
      </c>
      <c r="T99" s="12" t="b">
        <v>1</v>
      </c>
      <c r="U99" s="12">
        <v>1</v>
      </c>
      <c r="V99" s="12" t="s">
        <v>374</v>
      </c>
      <c r="W99" s="12" t="s">
        <v>374</v>
      </c>
      <c r="X99" s="12" t="b">
        <v>1</v>
      </c>
      <c r="Y99" s="12" t="b">
        <v>1</v>
      </c>
      <c r="Z99" s="12">
        <v>1</v>
      </c>
      <c r="AA99" s="12">
        <v>1.2</v>
      </c>
      <c r="AB99" s="12" t="s">
        <v>271</v>
      </c>
      <c r="AC99" s="12" t="s">
        <v>1269</v>
      </c>
      <c r="AD99" s="13" t="b">
        <v>1</v>
      </c>
    </row>
    <row r="100" spans="1:30">
      <c r="A100" t="s">
        <v>376</v>
      </c>
      <c r="B100" t="s">
        <v>377</v>
      </c>
      <c r="C100" t="s">
        <v>378</v>
      </c>
      <c r="D100" t="s">
        <v>379</v>
      </c>
      <c r="E100" t="s">
        <v>379</v>
      </c>
      <c r="G100" t="s">
        <v>381</v>
      </c>
      <c r="L100" t="s">
        <v>372</v>
      </c>
      <c r="M100" t="s">
        <v>24</v>
      </c>
      <c r="N100" t="s">
        <v>49</v>
      </c>
      <c r="P100" s="11" t="s">
        <v>381</v>
      </c>
      <c r="Q100" s="12" t="s">
        <v>377</v>
      </c>
      <c r="R100" s="12" t="s">
        <v>377</v>
      </c>
      <c r="S100" s="12" t="b">
        <v>1</v>
      </c>
      <c r="T100" s="12" t="b">
        <v>1</v>
      </c>
      <c r="U100" s="12">
        <v>1</v>
      </c>
      <c r="V100" s="12" t="s">
        <v>378</v>
      </c>
      <c r="W100" s="12" t="s">
        <v>378</v>
      </c>
      <c r="X100" s="12" t="b">
        <v>1</v>
      </c>
      <c r="Y100" s="12" t="b">
        <v>1</v>
      </c>
      <c r="Z100" s="12">
        <v>1</v>
      </c>
      <c r="AA100" s="12"/>
      <c r="AB100" s="12"/>
      <c r="AC100" s="12"/>
      <c r="AD100" s="13" t="b">
        <v>1</v>
      </c>
    </row>
    <row r="101" spans="1:30">
      <c r="A101" t="s">
        <v>382</v>
      </c>
      <c r="B101" t="s">
        <v>383</v>
      </c>
      <c r="C101" t="s">
        <v>384</v>
      </c>
      <c r="D101" t="s">
        <v>127</v>
      </c>
      <c r="E101" t="s">
        <v>127</v>
      </c>
      <c r="G101" t="s">
        <v>386</v>
      </c>
      <c r="L101" t="s">
        <v>372</v>
      </c>
      <c r="M101" t="s">
        <v>24</v>
      </c>
      <c r="N101" t="s">
        <v>31</v>
      </c>
      <c r="P101" s="11" t="s">
        <v>386</v>
      </c>
      <c r="Q101" s="12" t="s">
        <v>383</v>
      </c>
      <c r="R101" s="12" t="s">
        <v>383</v>
      </c>
      <c r="S101" s="12" t="b">
        <v>1</v>
      </c>
      <c r="T101" s="12" t="b">
        <v>1</v>
      </c>
      <c r="U101" s="12">
        <v>1</v>
      </c>
      <c r="V101" s="12" t="s">
        <v>384</v>
      </c>
      <c r="W101" s="12" t="s">
        <v>384</v>
      </c>
      <c r="X101" s="12" t="b">
        <v>1</v>
      </c>
      <c r="Y101" s="12" t="b">
        <v>1</v>
      </c>
      <c r="Z101" s="12">
        <v>1</v>
      </c>
      <c r="AA101" s="12">
        <v>1.2</v>
      </c>
      <c r="AB101" s="12" t="s">
        <v>1337</v>
      </c>
      <c r="AC101" s="12" t="s">
        <v>1428</v>
      </c>
      <c r="AD101" s="13" t="b">
        <v>1</v>
      </c>
    </row>
    <row r="102" spans="1:30">
      <c r="A102" t="s">
        <v>382</v>
      </c>
      <c r="B102" t="s">
        <v>383</v>
      </c>
      <c r="C102" t="s">
        <v>384</v>
      </c>
      <c r="D102" t="s">
        <v>127</v>
      </c>
      <c r="E102" t="s">
        <v>127</v>
      </c>
      <c r="G102" t="s">
        <v>387</v>
      </c>
      <c r="L102" t="s">
        <v>372</v>
      </c>
      <c r="M102" t="s">
        <v>24</v>
      </c>
      <c r="N102" t="s">
        <v>31</v>
      </c>
      <c r="P102" s="11" t="s">
        <v>387</v>
      </c>
      <c r="Q102" s="12" t="s">
        <v>383</v>
      </c>
      <c r="R102" s="12" t="s">
        <v>383</v>
      </c>
      <c r="S102" s="12" t="b">
        <v>1</v>
      </c>
      <c r="T102" s="12" t="b">
        <v>1</v>
      </c>
      <c r="U102" s="12">
        <v>1</v>
      </c>
      <c r="V102" s="12" t="s">
        <v>384</v>
      </c>
      <c r="W102" s="12" t="s">
        <v>384</v>
      </c>
      <c r="X102" s="12" t="b">
        <v>1</v>
      </c>
      <c r="Y102" s="12" t="b">
        <v>1</v>
      </c>
      <c r="Z102" s="12">
        <v>1</v>
      </c>
      <c r="AA102" s="12">
        <v>1.2</v>
      </c>
      <c r="AB102" s="12" t="s">
        <v>1337</v>
      </c>
      <c r="AC102" s="12" t="s">
        <v>1428</v>
      </c>
      <c r="AD102" s="13" t="b">
        <v>1</v>
      </c>
    </row>
    <row r="103" spans="1:30">
      <c r="A103" t="s">
        <v>388</v>
      </c>
      <c r="B103" t="s">
        <v>389</v>
      </c>
      <c r="C103" t="s">
        <v>390</v>
      </c>
      <c r="D103" t="s">
        <v>127</v>
      </c>
      <c r="E103" t="s">
        <v>127</v>
      </c>
      <c r="G103" t="s">
        <v>392</v>
      </c>
      <c r="L103" t="s">
        <v>372</v>
      </c>
      <c r="M103" t="s">
        <v>24</v>
      </c>
      <c r="N103" t="s">
        <v>25</v>
      </c>
      <c r="P103" s="11" t="s">
        <v>392</v>
      </c>
      <c r="Q103" s="12" t="s">
        <v>389</v>
      </c>
      <c r="R103" s="12" t="s">
        <v>389</v>
      </c>
      <c r="S103" s="12" t="b">
        <v>1</v>
      </c>
      <c r="T103" s="12" t="b">
        <v>1</v>
      </c>
      <c r="U103" s="12">
        <v>1</v>
      </c>
      <c r="V103" s="12" t="s">
        <v>390</v>
      </c>
      <c r="W103" s="12" t="s">
        <v>390</v>
      </c>
      <c r="X103" s="12" t="b">
        <v>1</v>
      </c>
      <c r="Y103" s="12" t="b">
        <v>1</v>
      </c>
      <c r="Z103" s="12">
        <v>1</v>
      </c>
      <c r="AA103" s="12">
        <v>1.1883999999999999</v>
      </c>
      <c r="AB103" s="12" t="s">
        <v>1338</v>
      </c>
      <c r="AC103" s="12" t="s">
        <v>1429</v>
      </c>
      <c r="AD103" s="13" t="b">
        <v>1</v>
      </c>
    </row>
    <row r="104" spans="1:30">
      <c r="A104" t="s">
        <v>393</v>
      </c>
      <c r="B104" t="s">
        <v>344</v>
      </c>
      <c r="C104" t="s">
        <v>394</v>
      </c>
      <c r="D104" t="s">
        <v>127</v>
      </c>
      <c r="E104" t="s">
        <v>127</v>
      </c>
      <c r="G104" t="s">
        <v>395</v>
      </c>
      <c r="L104" t="s">
        <v>372</v>
      </c>
      <c r="M104" t="s">
        <v>24</v>
      </c>
      <c r="N104" t="s">
        <v>25</v>
      </c>
      <c r="O104" t="s">
        <v>1132</v>
      </c>
      <c r="P104" s="11" t="s">
        <v>395</v>
      </c>
      <c r="Q104" s="12" t="s">
        <v>344</v>
      </c>
      <c r="R104" s="12" t="s">
        <v>344</v>
      </c>
      <c r="S104" s="12" t="b">
        <v>1</v>
      </c>
      <c r="T104" s="12" t="b">
        <v>1</v>
      </c>
      <c r="U104" s="12">
        <v>1</v>
      </c>
      <c r="V104" s="12" t="s">
        <v>394</v>
      </c>
      <c r="W104" s="12" t="s">
        <v>394</v>
      </c>
      <c r="X104" s="12" t="b">
        <v>1</v>
      </c>
      <c r="Y104" s="12" t="b">
        <v>1</v>
      </c>
      <c r="Z104" s="12">
        <v>1</v>
      </c>
      <c r="AA104" s="12">
        <v>1.2</v>
      </c>
      <c r="AB104" s="12" t="s">
        <v>1430</v>
      </c>
      <c r="AC104" s="12" t="s">
        <v>1431</v>
      </c>
      <c r="AD104" s="13" t="b">
        <v>1</v>
      </c>
    </row>
    <row r="105" spans="1:30">
      <c r="A105" t="s">
        <v>396</v>
      </c>
      <c r="B105" t="s">
        <v>397</v>
      </c>
      <c r="C105" t="s">
        <v>398</v>
      </c>
      <c r="D105" t="s">
        <v>127</v>
      </c>
      <c r="E105" t="s">
        <v>127</v>
      </c>
      <c r="G105" t="s">
        <v>400</v>
      </c>
      <c r="L105" t="s">
        <v>372</v>
      </c>
      <c r="M105" t="s">
        <v>24</v>
      </c>
      <c r="N105" t="s">
        <v>25</v>
      </c>
      <c r="P105" s="11" t="s">
        <v>400</v>
      </c>
      <c r="Q105" s="12" t="s">
        <v>397</v>
      </c>
      <c r="R105" s="12" t="s">
        <v>397</v>
      </c>
      <c r="S105" s="12" t="b">
        <v>1</v>
      </c>
      <c r="T105" s="12" t="b">
        <v>1</v>
      </c>
      <c r="U105" s="12">
        <v>1</v>
      </c>
      <c r="V105" s="12" t="s">
        <v>398</v>
      </c>
      <c r="W105" s="12" t="s">
        <v>398</v>
      </c>
      <c r="X105" s="12" t="b">
        <v>1</v>
      </c>
      <c r="Y105" s="12" t="b">
        <v>1</v>
      </c>
      <c r="Z105" s="12">
        <v>1</v>
      </c>
      <c r="AA105" s="12">
        <v>1.1089</v>
      </c>
      <c r="AB105" s="12" t="s">
        <v>1432</v>
      </c>
      <c r="AC105" s="12" t="s">
        <v>1433</v>
      </c>
      <c r="AD105" s="13" t="b">
        <v>1</v>
      </c>
    </row>
    <row r="106" spans="1:30">
      <c r="A106" t="s">
        <v>401</v>
      </c>
      <c r="B106" t="s">
        <v>397</v>
      </c>
      <c r="C106" t="s">
        <v>402</v>
      </c>
      <c r="D106" t="s">
        <v>379</v>
      </c>
      <c r="E106" t="s">
        <v>379</v>
      </c>
      <c r="G106" t="s">
        <v>403</v>
      </c>
      <c r="L106" t="s">
        <v>372</v>
      </c>
      <c r="M106" t="s">
        <v>24</v>
      </c>
      <c r="N106" t="s">
        <v>25</v>
      </c>
      <c r="P106" s="11" t="s">
        <v>403</v>
      </c>
      <c r="Q106" s="12" t="s">
        <v>397</v>
      </c>
      <c r="R106" s="12" t="s">
        <v>397</v>
      </c>
      <c r="S106" s="12" t="b">
        <v>1</v>
      </c>
      <c r="T106" s="12" t="b">
        <v>1</v>
      </c>
      <c r="U106" s="12">
        <v>1</v>
      </c>
      <c r="V106" s="12" t="s">
        <v>402</v>
      </c>
      <c r="W106" s="12" t="s">
        <v>398</v>
      </c>
      <c r="X106" s="12" t="b">
        <v>0</v>
      </c>
      <c r="Y106" s="12" t="b">
        <v>1</v>
      </c>
      <c r="Z106" s="12">
        <v>5</v>
      </c>
      <c r="AA106" s="12">
        <v>1.1089</v>
      </c>
      <c r="AB106" s="12" t="s">
        <v>1432</v>
      </c>
      <c r="AC106" s="12" t="s">
        <v>1434</v>
      </c>
      <c r="AD106" s="13" t="b">
        <v>1</v>
      </c>
    </row>
    <row r="107" spans="1:30">
      <c r="A107" t="s">
        <v>404</v>
      </c>
      <c r="B107" t="s">
        <v>405</v>
      </c>
      <c r="C107" t="s">
        <v>406</v>
      </c>
      <c r="D107" t="s">
        <v>127</v>
      </c>
      <c r="E107" t="s">
        <v>127</v>
      </c>
      <c r="G107" t="s">
        <v>404</v>
      </c>
      <c r="L107" t="s">
        <v>372</v>
      </c>
      <c r="M107" t="s">
        <v>24</v>
      </c>
      <c r="N107" t="s">
        <v>25</v>
      </c>
      <c r="P107" s="11" t="s">
        <v>404</v>
      </c>
      <c r="Q107" s="12" t="s">
        <v>405</v>
      </c>
      <c r="R107" s="12" t="s">
        <v>405</v>
      </c>
      <c r="S107" s="12" t="b">
        <v>1</v>
      </c>
      <c r="T107" s="12" t="b">
        <v>1</v>
      </c>
      <c r="U107" s="12">
        <v>1</v>
      </c>
      <c r="V107" s="12" t="s">
        <v>406</v>
      </c>
      <c r="W107" s="12" t="s">
        <v>406</v>
      </c>
      <c r="X107" s="12" t="b">
        <v>1</v>
      </c>
      <c r="Y107" s="12" t="b">
        <v>1</v>
      </c>
      <c r="Z107" s="12">
        <v>1</v>
      </c>
      <c r="AA107" s="12">
        <v>1.1544000000000001</v>
      </c>
      <c r="AB107" s="12" t="s">
        <v>1435</v>
      </c>
      <c r="AC107" s="12" t="s">
        <v>1436</v>
      </c>
      <c r="AD107" s="13" t="b">
        <v>1</v>
      </c>
    </row>
    <row r="108" spans="1:30">
      <c r="A108" t="s">
        <v>408</v>
      </c>
      <c r="B108" t="s">
        <v>405</v>
      </c>
      <c r="C108" t="s">
        <v>409</v>
      </c>
      <c r="D108" t="s">
        <v>379</v>
      </c>
      <c r="E108" t="s">
        <v>379</v>
      </c>
      <c r="G108" t="s">
        <v>408</v>
      </c>
      <c r="L108" t="s">
        <v>372</v>
      </c>
      <c r="M108" t="s">
        <v>24</v>
      </c>
      <c r="N108" t="s">
        <v>25</v>
      </c>
      <c r="P108" s="11" t="s">
        <v>408</v>
      </c>
      <c r="Q108" s="12" t="s">
        <v>405</v>
      </c>
      <c r="R108" s="12" t="s">
        <v>405</v>
      </c>
      <c r="S108" s="12" t="b">
        <v>1</v>
      </c>
      <c r="T108" s="12" t="b">
        <v>1</v>
      </c>
      <c r="U108" s="12">
        <v>1</v>
      </c>
      <c r="V108" s="12" t="s">
        <v>409</v>
      </c>
      <c r="W108" s="12" t="s">
        <v>409</v>
      </c>
      <c r="X108" s="12" t="b">
        <v>1</v>
      </c>
      <c r="Y108" s="12" t="b">
        <v>1</v>
      </c>
      <c r="Z108" s="12">
        <v>1</v>
      </c>
      <c r="AA108" s="12">
        <v>1.1544000000000001</v>
      </c>
      <c r="AB108" s="12" t="s">
        <v>1435</v>
      </c>
      <c r="AC108" s="12" t="s">
        <v>1437</v>
      </c>
      <c r="AD108" s="13" t="b">
        <v>1</v>
      </c>
    </row>
    <row r="109" spans="1:30">
      <c r="A109" t="s">
        <v>410</v>
      </c>
      <c r="B109" t="s">
        <v>595</v>
      </c>
      <c r="C109" t="s">
        <v>411</v>
      </c>
      <c r="D109" t="s">
        <v>127</v>
      </c>
      <c r="E109" t="s">
        <v>127</v>
      </c>
      <c r="G109" t="s">
        <v>412</v>
      </c>
      <c r="L109" t="s">
        <v>372</v>
      </c>
      <c r="M109" t="s">
        <v>24</v>
      </c>
      <c r="N109" t="s">
        <v>31</v>
      </c>
      <c r="P109" s="11" t="s">
        <v>412</v>
      </c>
      <c r="Q109" s="12" t="s">
        <v>595</v>
      </c>
      <c r="R109" s="12" t="s">
        <v>410</v>
      </c>
      <c r="S109" s="12" t="b">
        <v>0</v>
      </c>
      <c r="T109" s="12" t="b">
        <v>1</v>
      </c>
      <c r="U109" s="12">
        <v>2</v>
      </c>
      <c r="V109" s="12" t="s">
        <v>411</v>
      </c>
      <c r="W109" s="12" t="s">
        <v>411</v>
      </c>
      <c r="X109" s="12" t="b">
        <v>1</v>
      </c>
      <c r="Y109" s="12" t="b">
        <v>1</v>
      </c>
      <c r="Z109" s="12">
        <v>1</v>
      </c>
      <c r="AA109" s="12">
        <v>1.2</v>
      </c>
      <c r="AB109" s="12" t="s">
        <v>1438</v>
      </c>
      <c r="AC109" s="12" t="s">
        <v>1439</v>
      </c>
      <c r="AD109" s="13" t="b">
        <v>1</v>
      </c>
    </row>
    <row r="110" spans="1:30">
      <c r="A110" t="s">
        <v>413</v>
      </c>
      <c r="B110" t="s">
        <v>331</v>
      </c>
      <c r="C110" t="s">
        <v>414</v>
      </c>
      <c r="D110" t="s">
        <v>127</v>
      </c>
      <c r="E110" t="s">
        <v>127</v>
      </c>
      <c r="G110" t="s">
        <v>415</v>
      </c>
      <c r="L110" t="s">
        <v>372</v>
      </c>
      <c r="M110" t="s">
        <v>24</v>
      </c>
      <c r="N110" t="s">
        <v>31</v>
      </c>
      <c r="P110" s="14" t="s">
        <v>415</v>
      </c>
      <c r="Q110" s="15" t="s">
        <v>331</v>
      </c>
      <c r="R110" s="15" t="s">
        <v>410</v>
      </c>
      <c r="S110" s="15" t="b">
        <v>0</v>
      </c>
      <c r="T110" s="15" t="b">
        <v>1</v>
      </c>
      <c r="U110" s="15">
        <v>2</v>
      </c>
      <c r="V110" s="15" t="s">
        <v>414</v>
      </c>
      <c r="W110" s="15" t="s">
        <v>411</v>
      </c>
      <c r="X110" s="15" t="b">
        <v>0</v>
      </c>
      <c r="Y110" s="15" t="b">
        <v>1</v>
      </c>
      <c r="Z110" s="15">
        <v>2</v>
      </c>
      <c r="AA110" s="15">
        <v>0.90259999999999996</v>
      </c>
      <c r="AB110" s="15" t="s">
        <v>1440</v>
      </c>
      <c r="AC110" s="15" t="s">
        <v>1441</v>
      </c>
      <c r="AD110" s="16" t="b">
        <v>1</v>
      </c>
    </row>
  </sheetData>
  <autoFilter ref="A15:AJ110" xr:uid="{5E0BE612-B831-4DFF-B4BD-4E14D20E8F9D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7E1B-2F1C-465A-9E78-56A13F75388B}">
  <dimension ref="A1:AT110"/>
  <sheetViews>
    <sheetView topLeftCell="W1" workbookViewId="0">
      <selection activeCell="AH31" sqref="AH30:AH31"/>
    </sheetView>
  </sheetViews>
  <sheetFormatPr defaultRowHeight="15"/>
  <cols>
    <col min="1" max="1" width="23.28515625" customWidth="1"/>
    <col min="2" max="2" width="16.140625" customWidth="1"/>
    <col min="3" max="3" width="17.42578125" customWidth="1"/>
    <col min="4" max="4" width="13.7109375" customWidth="1"/>
    <col min="5" max="5" width="11.140625" customWidth="1"/>
    <col min="6" max="6" width="26" customWidth="1"/>
    <col min="7" max="7" width="23.85546875" customWidth="1"/>
    <col min="8" max="11" width="9.140625" bestFit="1" customWidth="1"/>
    <col min="12" max="12" width="16" bestFit="1" customWidth="1"/>
    <col min="13" max="14" width="9.140625" bestFit="1" customWidth="1"/>
    <col min="15" max="16" width="16.28515625" customWidth="1"/>
    <col min="17" max="17" width="20.85546875" customWidth="1"/>
    <col min="18" max="18" width="23.140625" customWidth="1"/>
    <col min="19" max="20" width="9.140625" bestFit="1" customWidth="1"/>
    <col min="21" max="21" width="9.28515625" customWidth="1"/>
    <col min="22" max="22" width="23" customWidth="1"/>
    <col min="23" max="23" width="21.42578125" customWidth="1"/>
    <col min="24" max="24" width="10.140625" customWidth="1"/>
    <col min="25" max="25" width="9.140625" bestFit="1" customWidth="1"/>
    <col min="26" max="26" width="11.42578125" customWidth="1"/>
    <col min="27" max="29" width="9.140625" bestFit="1" customWidth="1"/>
    <col min="30" max="30" width="12" customWidth="1"/>
    <col min="31" max="31" width="29.140625" customWidth="1"/>
    <col min="32" max="32" width="9.140625" bestFit="1" customWidth="1"/>
    <col min="33" max="33" width="14.85546875" customWidth="1"/>
    <col min="34" max="34" width="9.42578125" customWidth="1"/>
    <col min="35" max="35" width="15.140625" customWidth="1"/>
    <col min="36" max="36" width="12.5703125" customWidth="1"/>
  </cols>
  <sheetData>
    <row r="1" spans="1:46">
      <c r="AF1" t="s">
        <v>1101</v>
      </c>
      <c r="AL1" t="s">
        <v>31</v>
      </c>
      <c r="AQ1" t="s">
        <v>1442</v>
      </c>
    </row>
    <row r="2" spans="1:46">
      <c r="A2" t="s">
        <v>1443</v>
      </c>
      <c r="AF2" t="str" cm="1">
        <f t="array" ref="AF2:AF8">_xlfn.UNIQUE(L16:L506)</f>
        <v>us bank cashfile</v>
      </c>
      <c r="AH2">
        <f>COUNTIFS($N$16:$N$499,"Company Match", L$16:L$499, AF2)</f>
        <v>14</v>
      </c>
      <c r="AI2">
        <f>COUNTIFS($N$16:$N$506,"Company Match", L$16:L$506, AF2, S$16:S$506, TRUE)</f>
        <v>13</v>
      </c>
      <c r="AJ2" s="21">
        <f>AI2/AH2</f>
        <v>0.9285714285714286</v>
      </c>
      <c r="AL2">
        <f>COUNTIFS($N$16:$N$499,"Security Match", L$16:L$499, AF2)</f>
        <v>12</v>
      </c>
      <c r="AM2">
        <f>COUNTIFS($N$16:$N$506,"Security Match", L$16:L$506, AF2, S$16:S$506, TRUE)</f>
        <v>12</v>
      </c>
      <c r="AN2" s="40">
        <f>AM2/AL2</f>
        <v>1</v>
      </c>
      <c r="AQ2" t="str" cm="1">
        <f t="array" ref="AQ2:AQ8">_xlfn.UNIQUE(L16:L506)</f>
        <v>us bank cashfile</v>
      </c>
      <c r="AR2">
        <f>COUNTIFS($N$16:$N$499,"Company Match", L$16:L$499, AF2)</f>
        <v>14</v>
      </c>
      <c r="AS2">
        <f>COUNTIFS($N$16:$N$506,"Company Match", L$16:L$506, AF2, X$16:X$506, TRUE)</f>
        <v>5</v>
      </c>
      <c r="AT2" s="21">
        <f>AS2/AR2</f>
        <v>0.35714285714285715</v>
      </c>
    </row>
    <row r="3" spans="1:46">
      <c r="AF3" t="str">
        <v>watc_holdings</v>
      </c>
      <c r="AH3">
        <f>COUNTIFS($N$16:$N$499,"Company Match", L$16:L$499, AF3)</f>
        <v>7</v>
      </c>
      <c r="AI3">
        <f>COUNTIFS($N$16:$N$506,"Company Match", L$16:L$506, AF3, S$16:S$506, TRUE)</f>
        <v>6</v>
      </c>
      <c r="AJ3" s="21">
        <f>AI3/AH3</f>
        <v>0.8571428571428571</v>
      </c>
      <c r="AL3">
        <f>COUNTIFS($N$16:$N$499,"Security Match", L$16:L$499, AF3)</f>
        <v>5</v>
      </c>
      <c r="AM3">
        <f>COUNTIFS($N$16:$N$506,"Security Match", L$16:L$506, AF3, S$16:S$506, TRUE)</f>
        <v>5</v>
      </c>
      <c r="AN3" s="40">
        <f>AM3/AL3</f>
        <v>1</v>
      </c>
      <c r="AQ3" t="str">
        <v>watc_holdings</v>
      </c>
      <c r="AR3">
        <f>COUNTIFS($N$16:$N$499,"Company Match", L$16:L$499, AF3)</f>
        <v>7</v>
      </c>
      <c r="AS3">
        <f>COUNTIFS($N$16:$N$506,"Company Match", L$16:L$506, AF3, X$16:X$506, TRUE)</f>
        <v>4</v>
      </c>
      <c r="AT3" s="21">
        <f t="shared" ref="AT3:AT7" si="0">AS3/AR3</f>
        <v>0.5714285714285714</v>
      </c>
    </row>
    <row r="4" spans="1:46">
      <c r="AF4" t="str">
        <v>market_value</v>
      </c>
      <c r="AH4">
        <f>COUNTIFS($N$16:$N$499,"Company Match", L$16:L$499, AF4)</f>
        <v>8</v>
      </c>
      <c r="AI4">
        <f>COUNTIFS($N$16:$N$506,"Company Match", L$16:L$506, AF4, S$16:S$506, TRUE)</f>
        <v>7</v>
      </c>
      <c r="AJ4" s="21">
        <f>AI4/AH4</f>
        <v>0.875</v>
      </c>
      <c r="AL4">
        <f>COUNTIFS($N$16:$N$499,"Security Match", L$16:L$499, AF4)</f>
        <v>5</v>
      </c>
      <c r="AM4">
        <f>COUNTIFS($N$16:$N$506,"Security Match", L$16:L$506, AF4, S$16:S$506, TRUE)</f>
        <v>5</v>
      </c>
      <c r="AN4" s="40">
        <f>AM4/AL4</f>
        <v>1</v>
      </c>
      <c r="AQ4" t="str">
        <v>market_value</v>
      </c>
      <c r="AR4">
        <f>COUNTIFS($N$16:$N$499,"Company Match", L$16:L$499, AF4)</f>
        <v>8</v>
      </c>
      <c r="AS4">
        <f>COUNTIFS($N$16:$N$506,"Company Match", L$16:L$506, AF4, X$16:X$506, TRUE)</f>
        <v>3</v>
      </c>
      <c r="AT4" s="21">
        <f t="shared" si="0"/>
        <v>0.375</v>
      </c>
    </row>
    <row r="5" spans="1:46">
      <c r="AF5" t="str">
        <v>master_ratings</v>
      </c>
      <c r="AH5">
        <f>COUNTIFS($N$16:$N$499,"Company Match", L$16:L$499, AF5)</f>
        <v>9</v>
      </c>
      <c r="AI5">
        <f>COUNTIFS($N$16:$N$506,"Company Match", L$16:L$506, AF5, S$16:S$506, TRUE)</f>
        <v>9</v>
      </c>
      <c r="AJ5" s="21">
        <f>AI5/AH5</f>
        <v>1</v>
      </c>
      <c r="AL5">
        <f>COUNTIFS($N$16:$N$499,"Security Match", L$16:L$499, AF5)</f>
        <v>0</v>
      </c>
      <c r="AM5">
        <f>COUNTIFS($N$16:$N$506,"Security Match", L$16:L$506, AF5, S$16:S$506, TRUE)</f>
        <v>0</v>
      </c>
      <c r="AQ5" t="str">
        <v>master_ratings</v>
      </c>
      <c r="AR5">
        <f>COUNTIFS($N$16:$N$499,"Company Match", L$16:L$499, AF5)</f>
        <v>9</v>
      </c>
      <c r="AS5">
        <f>COUNTIFS($N$16:$N$506,"Company Match", L$16:L$506, AF5, X$16:X$506, TRUE)</f>
        <v>3</v>
      </c>
      <c r="AT5" s="21">
        <f t="shared" si="0"/>
        <v>0.33333333333333331</v>
      </c>
    </row>
    <row r="6" spans="1:46">
      <c r="AF6" t="str">
        <v>consolidated_soi</v>
      </c>
      <c r="AH6">
        <f>COUNTIFS($N$16:$N$499,"Company Match", L$16:L$499, AF6)</f>
        <v>4</v>
      </c>
      <c r="AI6">
        <f>COUNTIFS($N$16:$N$506,"Company Match", L$16:L$506, AF6, S$16:S$506, TRUE)</f>
        <v>2</v>
      </c>
      <c r="AJ6" s="21">
        <f>AI6/AH6</f>
        <v>0.5</v>
      </c>
      <c r="AL6">
        <f>COUNTIFS($N$16:$N$499,"Security Match", L$16:L$499, AF6)</f>
        <v>4</v>
      </c>
      <c r="AM6">
        <f>COUNTIFS($N$16:$N$506,"Security Match", L$16:L$506, AF6, S$16:S$506, TRUE)</f>
        <v>4</v>
      </c>
      <c r="AN6" s="40">
        <f>AM6/AL6</f>
        <v>1</v>
      </c>
      <c r="AQ6" t="str">
        <v>consolidated_soi</v>
      </c>
      <c r="AR6">
        <f>COUNTIFS($N$16:$N$499,"Company Match", L$16:L$499, AF6)</f>
        <v>4</v>
      </c>
      <c r="AS6">
        <f>COUNTIFS($N$16:$N$506,"Company Match", L$16:L$506, AF6, X$16:X$506, TRUE)</f>
        <v>3</v>
      </c>
      <c r="AT6" s="21">
        <f t="shared" si="0"/>
        <v>0.75</v>
      </c>
    </row>
    <row r="7" spans="1:46">
      <c r="AF7" t="str">
        <v>daily_long_short</v>
      </c>
      <c r="AH7">
        <f>COUNTIFS($N$16:$N$499,"Company Match", L$16:L$499, AF7)</f>
        <v>7</v>
      </c>
      <c r="AI7">
        <f>COUNTIFS($N$16:$N$506,"Company Match", L$16:L$506, AF7, S$16:S$506, TRUE)</f>
        <v>7</v>
      </c>
      <c r="AJ7" s="21">
        <f>AI7/AH7</f>
        <v>1</v>
      </c>
      <c r="AL7">
        <f>COUNTIFS($N$16:$N$499,"Security Match", L$16:L$499, AF7)</f>
        <v>5</v>
      </c>
      <c r="AM7">
        <f>COUNTIFS($N$16:$N$506,"Security Match", L$16:L$506, AF7, S$16:S$506, TRUE)</f>
        <v>4</v>
      </c>
      <c r="AN7" s="40">
        <f>AM7/AL7</f>
        <v>0.8</v>
      </c>
      <c r="AQ7" t="str">
        <v>daily_long_short</v>
      </c>
      <c r="AR7">
        <f>COUNTIFS($N$16:$N$499,"Company Match", L$16:L$499, AF7)</f>
        <v>7</v>
      </c>
      <c r="AS7">
        <f>COUNTIFS($N$16:$N$506,"Company Match", L$16:L$506, AF7, X$16:X$506, TRUE)</f>
        <v>5</v>
      </c>
      <c r="AT7" s="21">
        <f t="shared" si="0"/>
        <v>0.7142857142857143</v>
      </c>
    </row>
    <row r="8" spans="1:46">
      <c r="AF8">
        <v>0</v>
      </c>
      <c r="AN8" s="40"/>
      <c r="AQ8">
        <v>0</v>
      </c>
    </row>
    <row r="10" spans="1:46">
      <c r="AE10" s="25" t="s">
        <v>981</v>
      </c>
      <c r="AF10" s="25" t="s">
        <v>982</v>
      </c>
      <c r="AG10" s="25" t="s">
        <v>1102</v>
      </c>
      <c r="AH10" s="25" t="s">
        <v>984</v>
      </c>
      <c r="AI10" s="25" t="s">
        <v>1103</v>
      </c>
      <c r="AJ10" s="25" t="s">
        <v>984</v>
      </c>
    </row>
    <row r="11" spans="1:46">
      <c r="AE11" s="26" t="s">
        <v>25</v>
      </c>
      <c r="AF11" s="28">
        <f>COUNTIF($N$16:$N$110,"Company Match")</f>
        <v>49</v>
      </c>
      <c r="AG11" s="28">
        <f>COUNTIFS($N$16:$N$110,"Company Match",$S$16:$S$110,TRUE)</f>
        <v>44</v>
      </c>
      <c r="AH11" s="29">
        <f>IF(AF11&gt;0,AG11/AF11,0)</f>
        <v>0.89795918367346939</v>
      </c>
      <c r="AI11" s="28">
        <f>COUNTIFS($N$16:$N$126,"Company Match",$X$16:$X$126,TRUE)</f>
        <v>23</v>
      </c>
      <c r="AJ11" s="29">
        <f>IF(AF11&gt;0,AI11/AF11,0)</f>
        <v>0.46938775510204084</v>
      </c>
    </row>
    <row r="12" spans="1:46">
      <c r="AE12" s="26" t="s">
        <v>31</v>
      </c>
      <c r="AF12" s="28">
        <f>COUNTIF($N$16:$N$110,"Security Match")</f>
        <v>31</v>
      </c>
      <c r="AG12" s="28">
        <f>COUNTIFS($N$16:$N$110,"Security Match",$S$16:$S$110,TRUE)</f>
        <v>30</v>
      </c>
      <c r="AH12" s="29">
        <f>IF(AF12&gt;0,AG12/AF12,0)</f>
        <v>0.967741935483871</v>
      </c>
      <c r="AI12" s="28">
        <f>COUNTIFS($N$16:$N$126,"Security Match",$X$16:$X$126,TRUE)</f>
        <v>26</v>
      </c>
      <c r="AJ12" s="29">
        <f>IF(AF12&gt;0,AI12/AF12,0)</f>
        <v>0.83870967741935487</v>
      </c>
    </row>
    <row r="13" spans="1:46">
      <c r="AE13" s="27" t="s">
        <v>985</v>
      </c>
      <c r="AF13" s="30">
        <f>SUM(AF11:AF12,AF14)</f>
        <v>95</v>
      </c>
      <c r="AG13" s="30">
        <f>SUM(AG11:AG12,AG14)</f>
        <v>79</v>
      </c>
      <c r="AH13" s="31">
        <f>IF(AF13&gt;0,AG13/AF13,0)</f>
        <v>0.83157894736842108</v>
      </c>
      <c r="AI13" s="30">
        <f>SUM(AI11:AI12,AI14)</f>
        <v>54</v>
      </c>
      <c r="AJ13" s="31">
        <f>IF(AF13&gt;0,AI13/AF13,0)</f>
        <v>0.56842105263157894</v>
      </c>
    </row>
    <row r="14" spans="1:46">
      <c r="AE14" s="26" t="s">
        <v>49</v>
      </c>
      <c r="AF14" s="28">
        <f>COUNTIF($N$16:$N$126,"Company Knowledge Match")</f>
        <v>15</v>
      </c>
      <c r="AG14" s="28">
        <f>COUNTIFS($N$16:$N$110,"Company Knowledge Match",$S$16:$S$110,TRUE)</f>
        <v>5</v>
      </c>
      <c r="AH14" s="29">
        <f>IF(AF14&gt;0,AG14/AF14,0)</f>
        <v>0.33333333333333331</v>
      </c>
      <c r="AI14" s="28">
        <f>COUNTIFS($N$16:$N$126,"Company Knowledge Match",$X$16:$X$126,TRUE)</f>
        <v>5</v>
      </c>
      <c r="AJ14" s="29">
        <f>IF(AF14&gt;0,AI14/AF14,0)</f>
        <v>0.33333333333333331</v>
      </c>
    </row>
    <row r="15" spans="1:46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8" t="s">
        <v>698</v>
      </c>
      <c r="Q15" s="9" t="s">
        <v>878</v>
      </c>
      <c r="R15" s="9" t="s">
        <v>879</v>
      </c>
      <c r="S15" s="9" t="s">
        <v>880</v>
      </c>
      <c r="T15" s="9" t="s">
        <v>882</v>
      </c>
      <c r="U15" s="9" t="s">
        <v>883</v>
      </c>
      <c r="V15" s="9" t="s">
        <v>1104</v>
      </c>
      <c r="W15" s="9" t="s">
        <v>1105</v>
      </c>
      <c r="X15" s="9" t="s">
        <v>1106</v>
      </c>
      <c r="Y15" s="9" t="s">
        <v>1107</v>
      </c>
      <c r="Z15" s="9" t="s">
        <v>1108</v>
      </c>
      <c r="AA15" s="9" t="s">
        <v>1109</v>
      </c>
      <c r="AB15" s="9" t="s">
        <v>1110</v>
      </c>
      <c r="AC15" s="9" t="s">
        <v>1111</v>
      </c>
      <c r="AD15" s="10" t="s">
        <v>705</v>
      </c>
    </row>
    <row r="16" spans="1:4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16</v>
      </c>
      <c r="G16" t="s">
        <v>21</v>
      </c>
      <c r="H16" t="s">
        <v>22</v>
      </c>
      <c r="L16" t="s">
        <v>23</v>
      </c>
      <c r="M16" t="s">
        <v>24</v>
      </c>
      <c r="N16" t="s">
        <v>25</v>
      </c>
      <c r="P16" s="11" t="s">
        <v>16</v>
      </c>
      <c r="Q16" s="12" t="s">
        <v>17</v>
      </c>
      <c r="R16" s="12" t="s">
        <v>1285</v>
      </c>
      <c r="S16" s="12" t="b">
        <v>0</v>
      </c>
      <c r="T16" s="12" t="b">
        <v>1</v>
      </c>
      <c r="U16" s="12">
        <v>3</v>
      </c>
      <c r="V16" s="12" t="s">
        <v>18</v>
      </c>
      <c r="W16" s="12" t="s">
        <v>1113</v>
      </c>
      <c r="X16" s="12" t="b">
        <v>0</v>
      </c>
      <c r="Y16" s="12" t="b">
        <v>0</v>
      </c>
      <c r="Z16" s="12">
        <v>8</v>
      </c>
      <c r="AA16" s="12">
        <v>0.90549999999999997</v>
      </c>
      <c r="AB16" s="12" t="s">
        <v>1287</v>
      </c>
      <c r="AC16" s="12" t="s">
        <v>1444</v>
      </c>
      <c r="AD16" s="13" t="b">
        <v>1</v>
      </c>
    </row>
    <row r="17" spans="1:38">
      <c r="A17" t="s">
        <v>26</v>
      </c>
      <c r="B17" t="s">
        <v>27</v>
      </c>
      <c r="C17" t="s">
        <v>28</v>
      </c>
      <c r="D17" t="s">
        <v>19</v>
      </c>
      <c r="E17" t="s">
        <v>20</v>
      </c>
      <c r="F17" t="s">
        <v>29</v>
      </c>
      <c r="G17" t="s">
        <v>30</v>
      </c>
      <c r="L17" t="s">
        <v>23</v>
      </c>
      <c r="M17" t="s">
        <v>24</v>
      </c>
      <c r="N17" t="s">
        <v>31</v>
      </c>
      <c r="P17" s="11" t="s">
        <v>29</v>
      </c>
      <c r="Q17" s="12" t="s">
        <v>27</v>
      </c>
      <c r="R17" s="12" t="s">
        <v>27</v>
      </c>
      <c r="S17" s="12" t="b">
        <v>1</v>
      </c>
      <c r="T17" s="12" t="b">
        <v>1</v>
      </c>
      <c r="U17" s="12">
        <v>1</v>
      </c>
      <c r="V17" s="12" t="s">
        <v>28</v>
      </c>
      <c r="W17" s="12" t="s">
        <v>181</v>
      </c>
      <c r="X17" s="12" t="b">
        <v>0</v>
      </c>
      <c r="Y17" s="12" t="b">
        <v>1</v>
      </c>
      <c r="Z17" s="12">
        <v>2</v>
      </c>
      <c r="AA17" s="12">
        <v>0.97519999999999996</v>
      </c>
      <c r="AB17" s="12" t="s">
        <v>1289</v>
      </c>
      <c r="AC17" s="12" t="s">
        <v>1445</v>
      </c>
      <c r="AD17" s="13" t="b">
        <v>1</v>
      </c>
    </row>
    <row r="18" spans="1:38">
      <c r="A18" t="s">
        <v>32</v>
      </c>
      <c r="B18" t="s">
        <v>33</v>
      </c>
      <c r="C18" t="s">
        <v>34</v>
      </c>
      <c r="D18" t="s">
        <v>19</v>
      </c>
      <c r="E18" t="s">
        <v>20</v>
      </c>
      <c r="F18" t="s">
        <v>32</v>
      </c>
      <c r="G18" t="s">
        <v>35</v>
      </c>
      <c r="H18" t="s">
        <v>22</v>
      </c>
      <c r="I18" t="s">
        <v>36</v>
      </c>
      <c r="L18" t="s">
        <v>23</v>
      </c>
      <c r="M18" t="s">
        <v>24</v>
      </c>
      <c r="N18" t="s">
        <v>31</v>
      </c>
      <c r="P18" s="11" t="s">
        <v>32</v>
      </c>
      <c r="Q18" s="12" t="s">
        <v>33</v>
      </c>
      <c r="R18" s="12" t="s">
        <v>33</v>
      </c>
      <c r="S18" s="12" t="b">
        <v>1</v>
      </c>
      <c r="T18" s="12" t="b">
        <v>1</v>
      </c>
      <c r="U18" s="12">
        <v>1</v>
      </c>
      <c r="V18" s="12" t="s">
        <v>34</v>
      </c>
      <c r="W18" s="12" t="s">
        <v>34</v>
      </c>
      <c r="X18" s="12" t="b">
        <v>1</v>
      </c>
      <c r="Y18" s="12" t="b">
        <v>1</v>
      </c>
      <c r="Z18" s="12">
        <v>1</v>
      </c>
      <c r="AA18" s="12">
        <v>1.0841000000000001</v>
      </c>
      <c r="AB18" s="12" t="s">
        <v>1290</v>
      </c>
      <c r="AC18" s="12" t="s">
        <v>1446</v>
      </c>
      <c r="AD18" s="13" t="b">
        <v>1</v>
      </c>
      <c r="AL18" t="s">
        <v>1132</v>
      </c>
    </row>
    <row r="19" spans="1:38">
      <c r="A19" t="s">
        <v>37</v>
      </c>
      <c r="B19" t="s">
        <v>38</v>
      </c>
      <c r="C19" t="s">
        <v>39</v>
      </c>
      <c r="D19" t="s">
        <v>19</v>
      </c>
      <c r="E19" t="s">
        <v>20</v>
      </c>
      <c r="F19" t="s">
        <v>37</v>
      </c>
      <c r="G19" t="s">
        <v>40</v>
      </c>
      <c r="H19" t="s">
        <v>22</v>
      </c>
      <c r="L19" t="s">
        <v>23</v>
      </c>
      <c r="M19" t="s">
        <v>24</v>
      </c>
      <c r="N19" t="s">
        <v>31</v>
      </c>
      <c r="P19" s="11" t="s">
        <v>37</v>
      </c>
      <c r="Q19" s="12" t="s">
        <v>38</v>
      </c>
      <c r="R19" s="12" t="s">
        <v>38</v>
      </c>
      <c r="S19" s="12" t="b">
        <v>1</v>
      </c>
      <c r="T19" s="12" t="b">
        <v>1</v>
      </c>
      <c r="U19" s="12">
        <v>1</v>
      </c>
      <c r="V19" s="12" t="s">
        <v>39</v>
      </c>
      <c r="W19" s="12" t="s">
        <v>39</v>
      </c>
      <c r="X19" s="12" t="b">
        <v>1</v>
      </c>
      <c r="Y19" s="12" t="b">
        <v>1</v>
      </c>
      <c r="Z19" s="12">
        <v>1</v>
      </c>
      <c r="AA19" s="12">
        <v>0.9</v>
      </c>
      <c r="AB19" s="12" t="s">
        <v>989</v>
      </c>
      <c r="AC19" s="12" t="s">
        <v>1447</v>
      </c>
      <c r="AD19" s="13" t="b">
        <v>1</v>
      </c>
    </row>
    <row r="20" spans="1:38">
      <c r="A20" t="s">
        <v>41</v>
      </c>
      <c r="B20" t="s">
        <v>42</v>
      </c>
      <c r="C20" t="s">
        <v>43</v>
      </c>
      <c r="D20" t="s">
        <v>44</v>
      </c>
      <c r="E20" t="s">
        <v>20</v>
      </c>
      <c r="F20" t="s">
        <v>45</v>
      </c>
      <c r="G20" t="s">
        <v>46</v>
      </c>
      <c r="H20" t="s">
        <v>47</v>
      </c>
      <c r="I20" t="s">
        <v>48</v>
      </c>
      <c r="L20" t="s">
        <v>23</v>
      </c>
      <c r="M20" t="s">
        <v>24</v>
      </c>
      <c r="N20" t="s">
        <v>49</v>
      </c>
      <c r="P20" s="11" t="s">
        <v>45</v>
      </c>
      <c r="Q20" s="12" t="s">
        <v>42</v>
      </c>
      <c r="R20" s="12" t="s">
        <v>42</v>
      </c>
      <c r="S20" s="12" t="b">
        <v>1</v>
      </c>
      <c r="T20" s="12" t="b">
        <v>1</v>
      </c>
      <c r="U20" s="12">
        <v>1</v>
      </c>
      <c r="V20" s="12" t="s">
        <v>43</v>
      </c>
      <c r="W20" s="12" t="s">
        <v>43</v>
      </c>
      <c r="X20" s="12" t="b">
        <v>1</v>
      </c>
      <c r="Y20" s="12" t="b">
        <v>1</v>
      </c>
      <c r="Z20" s="12">
        <v>1</v>
      </c>
      <c r="AA20" s="12">
        <v>0.7712</v>
      </c>
      <c r="AB20" s="12" t="s">
        <v>42</v>
      </c>
      <c r="AC20" s="12" t="s">
        <v>1448</v>
      </c>
      <c r="AD20" s="13" t="b">
        <v>1</v>
      </c>
    </row>
    <row r="21" spans="1:38">
      <c r="A21" t="s">
        <v>41</v>
      </c>
      <c r="B21" t="s">
        <v>42</v>
      </c>
      <c r="C21" t="s">
        <v>50</v>
      </c>
      <c r="D21" t="s">
        <v>19</v>
      </c>
      <c r="E21" t="s">
        <v>20</v>
      </c>
      <c r="F21" t="s">
        <v>45</v>
      </c>
      <c r="G21" t="s">
        <v>51</v>
      </c>
      <c r="H21" t="s">
        <v>22</v>
      </c>
      <c r="I21" t="s">
        <v>52</v>
      </c>
      <c r="L21" t="s">
        <v>23</v>
      </c>
      <c r="M21" t="s">
        <v>24</v>
      </c>
      <c r="N21" t="s">
        <v>49</v>
      </c>
      <c r="P21" s="11" t="s">
        <v>45</v>
      </c>
      <c r="Q21" s="12" t="s">
        <v>42</v>
      </c>
      <c r="R21" s="12" t="s">
        <v>42</v>
      </c>
      <c r="S21" s="12" t="b">
        <v>1</v>
      </c>
      <c r="T21" s="12" t="b">
        <v>1</v>
      </c>
      <c r="U21" s="12">
        <v>1</v>
      </c>
      <c r="V21" s="12" t="s">
        <v>50</v>
      </c>
      <c r="W21" s="12" t="s">
        <v>50</v>
      </c>
      <c r="X21" s="12" t="b">
        <v>1</v>
      </c>
      <c r="Y21" s="12" t="b">
        <v>1</v>
      </c>
      <c r="Z21" s="12">
        <v>1</v>
      </c>
      <c r="AA21" s="12">
        <v>1.0711999999999999</v>
      </c>
      <c r="AB21" s="12" t="s">
        <v>42</v>
      </c>
      <c r="AC21" s="12" t="s">
        <v>1449</v>
      </c>
      <c r="AD21" s="13" t="b">
        <v>1</v>
      </c>
    </row>
    <row r="22" spans="1:38">
      <c r="A22" t="s">
        <v>53</v>
      </c>
      <c r="B22" t="s">
        <v>54</v>
      </c>
      <c r="C22" t="s">
        <v>55</v>
      </c>
      <c r="D22" t="s">
        <v>19</v>
      </c>
      <c r="E22" t="s">
        <v>20</v>
      </c>
      <c r="F22" t="s">
        <v>53</v>
      </c>
      <c r="G22" t="s">
        <v>56</v>
      </c>
      <c r="H22" t="s">
        <v>22</v>
      </c>
      <c r="I22" t="s">
        <v>57</v>
      </c>
      <c r="L22" t="s">
        <v>23</v>
      </c>
      <c r="M22" t="s">
        <v>24</v>
      </c>
      <c r="N22" t="s">
        <v>25</v>
      </c>
      <c r="P22" s="11" t="s">
        <v>53</v>
      </c>
      <c r="Q22" s="12" t="s">
        <v>54</v>
      </c>
      <c r="R22" s="12" t="s">
        <v>54</v>
      </c>
      <c r="S22" s="12" t="b">
        <v>1</v>
      </c>
      <c r="T22" s="12" t="b">
        <v>1</v>
      </c>
      <c r="U22" s="12">
        <v>1</v>
      </c>
      <c r="V22" s="12" t="s">
        <v>55</v>
      </c>
      <c r="W22" s="12" t="s">
        <v>1450</v>
      </c>
      <c r="X22" s="12" t="b">
        <v>0</v>
      </c>
      <c r="Y22" s="12" t="b">
        <v>1</v>
      </c>
      <c r="Z22" s="12">
        <v>3</v>
      </c>
      <c r="AA22" s="12">
        <v>1.1528</v>
      </c>
      <c r="AB22" s="12" t="s">
        <v>1292</v>
      </c>
      <c r="AC22" s="12" t="s">
        <v>1451</v>
      </c>
      <c r="AD22" s="13" t="b">
        <v>1</v>
      </c>
    </row>
    <row r="23" spans="1:38">
      <c r="A23" t="s">
        <v>58</v>
      </c>
      <c r="B23" t="s">
        <v>59</v>
      </c>
      <c r="C23" t="s">
        <v>60</v>
      </c>
      <c r="D23" t="s">
        <v>44</v>
      </c>
      <c r="E23" t="s">
        <v>20</v>
      </c>
      <c r="F23" t="s">
        <v>1132</v>
      </c>
      <c r="G23" t="s">
        <v>62</v>
      </c>
      <c r="H23" t="s">
        <v>47</v>
      </c>
      <c r="L23" t="s">
        <v>23</v>
      </c>
      <c r="M23" t="s">
        <v>24</v>
      </c>
      <c r="N23" t="s">
        <v>25</v>
      </c>
      <c r="P23" s="11" t="s">
        <v>61</v>
      </c>
      <c r="Q23" s="12" t="s">
        <v>59</v>
      </c>
      <c r="R23" s="12" t="s">
        <v>59</v>
      </c>
      <c r="S23" s="12" t="b">
        <v>1</v>
      </c>
      <c r="T23" s="12" t="b">
        <v>1</v>
      </c>
      <c r="U23" s="12">
        <v>1</v>
      </c>
      <c r="V23" s="12" t="s">
        <v>60</v>
      </c>
      <c r="W23" s="12" t="s">
        <v>60</v>
      </c>
      <c r="X23" s="12" t="b">
        <v>1</v>
      </c>
      <c r="Y23" s="12" t="b">
        <v>1</v>
      </c>
      <c r="Z23" s="12">
        <v>1</v>
      </c>
      <c r="AA23" s="12">
        <v>0.84960000000000002</v>
      </c>
      <c r="AB23" s="12" t="s">
        <v>59</v>
      </c>
      <c r="AC23" s="12" t="s">
        <v>1293</v>
      </c>
      <c r="AD23" s="13" t="b">
        <v>1</v>
      </c>
    </row>
    <row r="24" spans="1:38">
      <c r="A24" t="s">
        <v>63</v>
      </c>
      <c r="B24" t="s">
        <v>64</v>
      </c>
      <c r="C24" t="s">
        <v>65</v>
      </c>
      <c r="D24" t="s">
        <v>19</v>
      </c>
      <c r="E24" t="s">
        <v>20</v>
      </c>
      <c r="F24" t="s">
        <v>66</v>
      </c>
      <c r="G24" t="s">
        <v>67</v>
      </c>
      <c r="H24" t="s">
        <v>22</v>
      </c>
      <c r="L24" t="s">
        <v>23</v>
      </c>
      <c r="M24" t="s">
        <v>24</v>
      </c>
      <c r="N24" t="s">
        <v>31</v>
      </c>
      <c r="P24" s="11" t="s">
        <v>66</v>
      </c>
      <c r="Q24" s="12" t="s">
        <v>64</v>
      </c>
      <c r="R24" s="12" t="s">
        <v>64</v>
      </c>
      <c r="S24" s="12" t="b">
        <v>1</v>
      </c>
      <c r="T24" s="12" t="b">
        <v>1</v>
      </c>
      <c r="U24" s="12">
        <v>1</v>
      </c>
      <c r="V24" s="12" t="s">
        <v>65</v>
      </c>
      <c r="W24" s="12" t="s">
        <v>65</v>
      </c>
      <c r="X24" s="12" t="b">
        <v>1</v>
      </c>
      <c r="Y24" s="12" t="b">
        <v>1</v>
      </c>
      <c r="Z24" s="12">
        <v>1</v>
      </c>
      <c r="AA24" s="12">
        <v>1.1831</v>
      </c>
      <c r="AB24" s="12" t="s">
        <v>64</v>
      </c>
      <c r="AC24" s="12" t="s">
        <v>1137</v>
      </c>
      <c r="AD24" s="13" t="b">
        <v>1</v>
      </c>
    </row>
    <row r="25" spans="1:38">
      <c r="A25" t="s">
        <v>68</v>
      </c>
      <c r="B25" t="s">
        <v>69</v>
      </c>
      <c r="C25" t="s">
        <v>70</v>
      </c>
      <c r="D25" t="s">
        <v>19</v>
      </c>
      <c r="E25" t="s">
        <v>20</v>
      </c>
      <c r="F25" t="s">
        <v>71</v>
      </c>
      <c r="G25" t="s">
        <v>72</v>
      </c>
      <c r="H25" t="s">
        <v>22</v>
      </c>
      <c r="I25" t="s">
        <v>73</v>
      </c>
      <c r="L25" t="s">
        <v>23</v>
      </c>
      <c r="M25" t="s">
        <v>24</v>
      </c>
      <c r="N25" t="s">
        <v>25</v>
      </c>
      <c r="P25" s="11" t="s">
        <v>71</v>
      </c>
      <c r="Q25" s="12" t="s">
        <v>69</v>
      </c>
      <c r="R25" s="12" t="s">
        <v>69</v>
      </c>
      <c r="S25" s="12" t="b">
        <v>1</v>
      </c>
      <c r="T25" s="12" t="b">
        <v>1</v>
      </c>
      <c r="U25" s="12">
        <v>1</v>
      </c>
      <c r="V25" s="12" t="s">
        <v>70</v>
      </c>
      <c r="W25" s="12" t="s">
        <v>1452</v>
      </c>
      <c r="X25" s="12" t="b">
        <v>0</v>
      </c>
      <c r="Y25" s="12" t="b">
        <v>1</v>
      </c>
      <c r="Z25" s="12">
        <v>2</v>
      </c>
      <c r="AA25" s="12">
        <v>1.1133999999999999</v>
      </c>
      <c r="AB25" s="12" t="s">
        <v>1294</v>
      </c>
      <c r="AC25" s="12" t="s">
        <v>1453</v>
      </c>
      <c r="AD25" s="13" t="b">
        <v>1</v>
      </c>
    </row>
    <row r="26" spans="1:38">
      <c r="A26" t="s">
        <v>68</v>
      </c>
      <c r="B26" t="s">
        <v>69</v>
      </c>
      <c r="C26" t="s">
        <v>70</v>
      </c>
      <c r="D26" t="s">
        <v>19</v>
      </c>
      <c r="E26" t="s">
        <v>20</v>
      </c>
      <c r="F26" t="s">
        <v>74</v>
      </c>
      <c r="G26" t="s">
        <v>75</v>
      </c>
      <c r="H26" t="s">
        <v>22</v>
      </c>
      <c r="I26" t="s">
        <v>73</v>
      </c>
      <c r="L26" t="s">
        <v>23</v>
      </c>
      <c r="M26" t="s">
        <v>24</v>
      </c>
      <c r="N26" t="s">
        <v>31</v>
      </c>
      <c r="P26" s="11" t="s">
        <v>74</v>
      </c>
      <c r="Q26" s="12" t="s">
        <v>69</v>
      </c>
      <c r="R26" s="12" t="s">
        <v>69</v>
      </c>
      <c r="S26" s="12" t="b">
        <v>1</v>
      </c>
      <c r="T26" s="12" t="b">
        <v>1</v>
      </c>
      <c r="U26" s="12">
        <v>1</v>
      </c>
      <c r="V26" s="12" t="s">
        <v>70</v>
      </c>
      <c r="W26" s="12" t="s">
        <v>70</v>
      </c>
      <c r="X26" s="12" t="b">
        <v>1</v>
      </c>
      <c r="Y26" s="12" t="b">
        <v>1</v>
      </c>
      <c r="Z26" s="12">
        <v>1</v>
      </c>
      <c r="AA26" s="12">
        <v>1.0499000000000001</v>
      </c>
      <c r="AB26" s="12" t="s">
        <v>1295</v>
      </c>
      <c r="AC26" s="12" t="s">
        <v>1454</v>
      </c>
      <c r="AD26" s="13" t="b">
        <v>1</v>
      </c>
    </row>
    <row r="27" spans="1:38">
      <c r="A27" t="s">
        <v>76</v>
      </c>
      <c r="B27" t="s">
        <v>77</v>
      </c>
      <c r="C27" t="s">
        <v>78</v>
      </c>
      <c r="D27" t="s">
        <v>79</v>
      </c>
      <c r="E27" t="s">
        <v>20</v>
      </c>
      <c r="F27" t="s">
        <v>80</v>
      </c>
      <c r="G27" t="s">
        <v>81</v>
      </c>
      <c r="H27" t="s">
        <v>82</v>
      </c>
      <c r="L27" t="s">
        <v>23</v>
      </c>
      <c r="M27" t="s">
        <v>24</v>
      </c>
      <c r="N27" t="s">
        <v>31</v>
      </c>
      <c r="P27" s="11" t="s">
        <v>80</v>
      </c>
      <c r="Q27" s="12" t="s">
        <v>77</v>
      </c>
      <c r="R27" s="12" t="s">
        <v>77</v>
      </c>
      <c r="S27" s="12" t="b">
        <v>1</v>
      </c>
      <c r="T27" s="12" t="b">
        <v>1</v>
      </c>
      <c r="U27" s="12">
        <v>1</v>
      </c>
      <c r="V27" s="12" t="s">
        <v>78</v>
      </c>
      <c r="W27" s="12" t="s">
        <v>1143</v>
      </c>
      <c r="X27" s="12" t="b">
        <v>0</v>
      </c>
      <c r="Y27" s="12" t="b">
        <v>0</v>
      </c>
      <c r="Z27" s="12">
        <v>7</v>
      </c>
      <c r="AA27" s="12">
        <v>1</v>
      </c>
      <c r="AB27" s="12" t="s">
        <v>77</v>
      </c>
      <c r="AC27" s="12" t="s">
        <v>1455</v>
      </c>
      <c r="AD27" s="13" t="b">
        <v>1</v>
      </c>
    </row>
    <row r="28" spans="1:38">
      <c r="A28" t="s">
        <v>83</v>
      </c>
      <c r="B28" t="s">
        <v>84</v>
      </c>
      <c r="C28" t="s">
        <v>85</v>
      </c>
      <c r="D28" t="s">
        <v>79</v>
      </c>
      <c r="E28" t="s">
        <v>20</v>
      </c>
      <c r="F28" t="s">
        <v>86</v>
      </c>
      <c r="G28" t="s">
        <v>87</v>
      </c>
      <c r="H28" t="s">
        <v>82</v>
      </c>
      <c r="L28" t="s">
        <v>23</v>
      </c>
      <c r="M28" t="s">
        <v>24</v>
      </c>
      <c r="N28" t="s">
        <v>25</v>
      </c>
      <c r="P28" s="11" t="s">
        <v>86</v>
      </c>
      <c r="Q28" s="12" t="s">
        <v>84</v>
      </c>
      <c r="R28" s="12" t="s">
        <v>84</v>
      </c>
      <c r="S28" s="12" t="b">
        <v>1</v>
      </c>
      <c r="T28" s="12" t="b">
        <v>1</v>
      </c>
      <c r="U28" s="12">
        <v>1</v>
      </c>
      <c r="V28" s="12" t="s">
        <v>85</v>
      </c>
      <c r="W28" s="12" t="s">
        <v>1456</v>
      </c>
      <c r="X28" s="12" t="b">
        <v>0</v>
      </c>
      <c r="Y28" s="12" t="b">
        <v>1</v>
      </c>
      <c r="Z28" s="12">
        <v>5</v>
      </c>
      <c r="AA28" s="12">
        <v>0.89270000000000005</v>
      </c>
      <c r="AB28" s="12" t="s">
        <v>1296</v>
      </c>
      <c r="AC28" s="12" t="s">
        <v>1457</v>
      </c>
      <c r="AD28" s="13" t="b">
        <v>1</v>
      </c>
    </row>
    <row r="29" spans="1:38">
      <c r="A29" t="s">
        <v>88</v>
      </c>
      <c r="B29" t="s">
        <v>89</v>
      </c>
      <c r="C29" t="s">
        <v>90</v>
      </c>
      <c r="D29" t="s">
        <v>19</v>
      </c>
      <c r="E29" t="s">
        <v>20</v>
      </c>
      <c r="F29" t="s">
        <v>91</v>
      </c>
      <c r="G29" t="s">
        <v>92</v>
      </c>
      <c r="H29" t="s">
        <v>22</v>
      </c>
      <c r="I29" t="s">
        <v>93</v>
      </c>
      <c r="L29" t="s">
        <v>23</v>
      </c>
      <c r="M29" t="s">
        <v>24</v>
      </c>
      <c r="N29" t="s">
        <v>31</v>
      </c>
      <c r="P29" s="11" t="s">
        <v>91</v>
      </c>
      <c r="Q29" s="12" t="s">
        <v>89</v>
      </c>
      <c r="R29" s="12" t="s">
        <v>89</v>
      </c>
      <c r="S29" s="12" t="b">
        <v>1</v>
      </c>
      <c r="T29" s="12" t="b">
        <v>1</v>
      </c>
      <c r="U29" s="12">
        <v>1</v>
      </c>
      <c r="V29" s="12" t="s">
        <v>90</v>
      </c>
      <c r="W29" s="12" t="s">
        <v>90</v>
      </c>
      <c r="X29" s="12" t="b">
        <v>1</v>
      </c>
      <c r="Y29" s="12" t="b">
        <v>1</v>
      </c>
      <c r="Z29" s="12">
        <v>1</v>
      </c>
      <c r="AA29" s="12">
        <v>1.2</v>
      </c>
      <c r="AB29" s="12" t="s">
        <v>994</v>
      </c>
      <c r="AC29" s="12" t="s">
        <v>1354</v>
      </c>
      <c r="AD29" s="13" t="b">
        <v>1</v>
      </c>
    </row>
    <row r="30" spans="1:38">
      <c r="A30" t="s">
        <v>94</v>
      </c>
      <c r="B30" t="s">
        <v>95</v>
      </c>
      <c r="C30" t="s">
        <v>96</v>
      </c>
      <c r="D30" t="s">
        <v>44</v>
      </c>
      <c r="E30" t="s">
        <v>20</v>
      </c>
      <c r="F30" t="s">
        <v>94</v>
      </c>
      <c r="G30" t="s">
        <v>97</v>
      </c>
      <c r="H30" t="s">
        <v>47</v>
      </c>
      <c r="I30" t="s">
        <v>98</v>
      </c>
      <c r="L30" t="s">
        <v>23</v>
      </c>
      <c r="M30" t="s">
        <v>24</v>
      </c>
      <c r="N30" t="s">
        <v>25</v>
      </c>
      <c r="P30" s="11" t="s">
        <v>94</v>
      </c>
      <c r="Q30" s="12" t="s">
        <v>95</v>
      </c>
      <c r="R30" s="12" t="s">
        <v>95</v>
      </c>
      <c r="S30" s="12" t="b">
        <v>1</v>
      </c>
      <c r="T30" s="12" t="b">
        <v>1</v>
      </c>
      <c r="U30" s="12">
        <v>1</v>
      </c>
      <c r="V30" s="12" t="s">
        <v>96</v>
      </c>
      <c r="W30" s="12" t="s">
        <v>1458</v>
      </c>
      <c r="X30" s="12" t="b">
        <v>0</v>
      </c>
      <c r="Y30" s="12" t="b">
        <v>1</v>
      </c>
      <c r="Z30" s="12">
        <v>3</v>
      </c>
      <c r="AA30" s="12">
        <v>1.2255</v>
      </c>
      <c r="AB30" s="12" t="s">
        <v>1297</v>
      </c>
      <c r="AC30" s="12" t="s">
        <v>1459</v>
      </c>
      <c r="AD30" s="13" t="b">
        <v>1</v>
      </c>
    </row>
    <row r="31" spans="1:38">
      <c r="A31" t="s">
        <v>99</v>
      </c>
      <c r="B31" t="s">
        <v>100</v>
      </c>
      <c r="C31" t="s">
        <v>101</v>
      </c>
      <c r="D31" t="s">
        <v>44</v>
      </c>
      <c r="E31" t="s">
        <v>20</v>
      </c>
      <c r="F31" t="s">
        <v>102</v>
      </c>
      <c r="G31" t="s">
        <v>103</v>
      </c>
      <c r="H31" t="s">
        <v>47</v>
      </c>
      <c r="I31" t="s">
        <v>104</v>
      </c>
      <c r="L31" t="s">
        <v>23</v>
      </c>
      <c r="M31" t="s">
        <v>24</v>
      </c>
      <c r="N31" t="s">
        <v>31</v>
      </c>
      <c r="P31" s="11" t="s">
        <v>102</v>
      </c>
      <c r="Q31" s="12" t="s">
        <v>100</v>
      </c>
      <c r="R31" s="12" t="s">
        <v>100</v>
      </c>
      <c r="S31" s="12" t="b">
        <v>1</v>
      </c>
      <c r="T31" s="12" t="b">
        <v>1</v>
      </c>
      <c r="U31" s="12">
        <v>1</v>
      </c>
      <c r="V31" s="12" t="s">
        <v>101</v>
      </c>
      <c r="W31" s="12" t="s">
        <v>101</v>
      </c>
      <c r="X31" s="12" t="b">
        <v>1</v>
      </c>
      <c r="Y31" s="12" t="b">
        <v>1</v>
      </c>
      <c r="Z31" s="12">
        <v>1</v>
      </c>
      <c r="AA31" s="12">
        <v>1</v>
      </c>
      <c r="AB31" s="12" t="s">
        <v>1298</v>
      </c>
      <c r="AC31" s="12" t="s">
        <v>1460</v>
      </c>
      <c r="AD31" s="13" t="b">
        <v>1</v>
      </c>
    </row>
    <row r="32" spans="1:38">
      <c r="A32" t="s">
        <v>105</v>
      </c>
      <c r="B32" t="s">
        <v>106</v>
      </c>
      <c r="C32" t="s">
        <v>107</v>
      </c>
      <c r="D32" t="s">
        <v>19</v>
      </c>
      <c r="E32" t="s">
        <v>20</v>
      </c>
      <c r="F32" t="s">
        <v>108</v>
      </c>
      <c r="G32" t="s">
        <v>109</v>
      </c>
      <c r="H32" t="s">
        <v>22</v>
      </c>
      <c r="I32" t="s">
        <v>110</v>
      </c>
      <c r="L32" t="s">
        <v>23</v>
      </c>
      <c r="M32" t="s">
        <v>24</v>
      </c>
      <c r="N32" t="s">
        <v>25</v>
      </c>
      <c r="P32" s="11" t="s">
        <v>108</v>
      </c>
      <c r="Q32" s="12" t="s">
        <v>106</v>
      </c>
      <c r="R32" s="12" t="s">
        <v>106</v>
      </c>
      <c r="S32" s="12" t="b">
        <v>1</v>
      </c>
      <c r="T32" s="12" t="b">
        <v>1</v>
      </c>
      <c r="U32" s="12">
        <v>1</v>
      </c>
      <c r="V32" s="12" t="s">
        <v>107</v>
      </c>
      <c r="W32" s="12" t="s">
        <v>1190</v>
      </c>
      <c r="X32" s="12" t="b">
        <v>0</v>
      </c>
      <c r="Y32" s="12" t="b">
        <v>1</v>
      </c>
      <c r="Z32" s="12">
        <v>3</v>
      </c>
      <c r="AA32" s="12">
        <v>1.1232</v>
      </c>
      <c r="AB32" s="12" t="s">
        <v>997</v>
      </c>
      <c r="AC32" s="12" t="s">
        <v>1461</v>
      </c>
      <c r="AD32" s="13" t="b">
        <v>1</v>
      </c>
    </row>
    <row r="33" spans="1:30">
      <c r="A33" t="s">
        <v>111</v>
      </c>
      <c r="B33" t="s">
        <v>112</v>
      </c>
      <c r="C33" t="s">
        <v>113</v>
      </c>
      <c r="D33" t="s">
        <v>19</v>
      </c>
      <c r="E33" t="s">
        <v>20</v>
      </c>
      <c r="F33" t="s">
        <v>111</v>
      </c>
      <c r="G33" t="s">
        <v>114</v>
      </c>
      <c r="H33" t="s">
        <v>22</v>
      </c>
      <c r="L33" t="s">
        <v>23</v>
      </c>
      <c r="M33" t="s">
        <v>24</v>
      </c>
      <c r="N33" t="s">
        <v>25</v>
      </c>
      <c r="P33" s="11" t="s">
        <v>111</v>
      </c>
      <c r="Q33" s="12" t="s">
        <v>112</v>
      </c>
      <c r="R33" s="12" t="s">
        <v>112</v>
      </c>
      <c r="S33" s="12" t="b">
        <v>1</v>
      </c>
      <c r="T33" s="12" t="b">
        <v>1</v>
      </c>
      <c r="U33" s="12">
        <v>1</v>
      </c>
      <c r="V33" s="12" t="s">
        <v>113</v>
      </c>
      <c r="W33" s="12" t="s">
        <v>1450</v>
      </c>
      <c r="X33" s="12" t="b">
        <v>0</v>
      </c>
      <c r="Y33" s="12" t="b">
        <v>1</v>
      </c>
      <c r="Z33" s="12">
        <v>5</v>
      </c>
      <c r="AA33" s="12">
        <v>0.8589</v>
      </c>
      <c r="AB33" s="12" t="s">
        <v>1299</v>
      </c>
      <c r="AC33" s="12" t="s">
        <v>1462</v>
      </c>
      <c r="AD33" s="13" t="b">
        <v>1</v>
      </c>
    </row>
    <row r="34" spans="1:30">
      <c r="A34" t="s">
        <v>115</v>
      </c>
      <c r="B34" t="s">
        <v>116</v>
      </c>
      <c r="C34" t="s">
        <v>117</v>
      </c>
      <c r="D34" t="s">
        <v>19</v>
      </c>
      <c r="E34" t="s">
        <v>20</v>
      </c>
      <c r="F34" t="s">
        <v>118</v>
      </c>
      <c r="G34" t="s">
        <v>119</v>
      </c>
      <c r="H34" t="s">
        <v>22</v>
      </c>
      <c r="I34" t="s">
        <v>120</v>
      </c>
      <c r="L34" t="s">
        <v>23</v>
      </c>
      <c r="M34" t="s">
        <v>24</v>
      </c>
      <c r="N34" t="s">
        <v>25</v>
      </c>
      <c r="P34" s="11" t="s">
        <v>118</v>
      </c>
      <c r="Q34" s="12" t="s">
        <v>116</v>
      </c>
      <c r="R34" s="12" t="s">
        <v>116</v>
      </c>
      <c r="S34" s="12" t="b">
        <v>1</v>
      </c>
      <c r="T34" s="12" t="b">
        <v>1</v>
      </c>
      <c r="U34" s="12">
        <v>1</v>
      </c>
      <c r="V34" s="12" t="s">
        <v>117</v>
      </c>
      <c r="W34" s="12" t="s">
        <v>117</v>
      </c>
      <c r="X34" s="12" t="b">
        <v>1</v>
      </c>
      <c r="Y34" s="12" t="b">
        <v>1</v>
      </c>
      <c r="Z34" s="12">
        <v>1</v>
      </c>
      <c r="AA34" s="12">
        <v>1.0248999999999999</v>
      </c>
      <c r="AB34" s="12" t="s">
        <v>116</v>
      </c>
      <c r="AC34" s="12" t="s">
        <v>1166</v>
      </c>
      <c r="AD34" s="13" t="b">
        <v>1</v>
      </c>
    </row>
    <row r="35" spans="1:30">
      <c r="A35" t="s">
        <v>115</v>
      </c>
      <c r="B35" t="s">
        <v>116</v>
      </c>
      <c r="C35" t="s">
        <v>117</v>
      </c>
      <c r="D35" t="s">
        <v>19</v>
      </c>
      <c r="E35" t="s">
        <v>20</v>
      </c>
      <c r="F35" t="s">
        <v>121</v>
      </c>
      <c r="G35" t="s">
        <v>122</v>
      </c>
      <c r="H35" t="s">
        <v>22</v>
      </c>
      <c r="I35" t="s">
        <v>123</v>
      </c>
      <c r="L35" t="s">
        <v>23</v>
      </c>
      <c r="M35" t="s">
        <v>24</v>
      </c>
      <c r="N35" t="s">
        <v>31</v>
      </c>
      <c r="P35" s="11" t="s">
        <v>121</v>
      </c>
      <c r="Q35" s="12" t="s">
        <v>116</v>
      </c>
      <c r="R35" s="12" t="s">
        <v>116</v>
      </c>
      <c r="S35" s="12" t="b">
        <v>1</v>
      </c>
      <c r="T35" s="12" t="b">
        <v>1</v>
      </c>
      <c r="U35" s="12">
        <v>1</v>
      </c>
      <c r="V35" s="12" t="s">
        <v>117</v>
      </c>
      <c r="W35" s="12" t="s">
        <v>117</v>
      </c>
      <c r="X35" s="12" t="b">
        <v>1</v>
      </c>
      <c r="Y35" s="12" t="b">
        <v>1</v>
      </c>
      <c r="Z35" s="12">
        <v>1</v>
      </c>
      <c r="AA35" s="12">
        <v>0.89749999999999996</v>
      </c>
      <c r="AB35" s="12" t="s">
        <v>116</v>
      </c>
      <c r="AC35" s="12" t="s">
        <v>1463</v>
      </c>
      <c r="AD35" s="13" t="b">
        <v>1</v>
      </c>
    </row>
    <row r="36" spans="1:30">
      <c r="A36" t="s">
        <v>124</v>
      </c>
      <c r="B36" t="s">
        <v>125</v>
      </c>
      <c r="C36" t="s">
        <v>126</v>
      </c>
      <c r="D36" t="s">
        <v>127</v>
      </c>
      <c r="E36" t="s">
        <v>127</v>
      </c>
      <c r="F36" t="s">
        <v>128</v>
      </c>
      <c r="G36" t="s">
        <v>128</v>
      </c>
      <c r="L36" t="s">
        <v>23</v>
      </c>
      <c r="M36" t="s">
        <v>24</v>
      </c>
      <c r="N36" t="s">
        <v>31</v>
      </c>
      <c r="P36" s="11" t="s">
        <v>128</v>
      </c>
      <c r="Q36" s="12" t="s">
        <v>125</v>
      </c>
      <c r="R36" s="12" t="s">
        <v>125</v>
      </c>
      <c r="S36" s="12" t="b">
        <v>1</v>
      </c>
      <c r="T36" s="12" t="b">
        <v>1</v>
      </c>
      <c r="U36" s="12">
        <v>1</v>
      </c>
      <c r="V36" s="12" t="s">
        <v>126</v>
      </c>
      <c r="W36" s="12" t="s">
        <v>126</v>
      </c>
      <c r="X36" s="12" t="b">
        <v>1</v>
      </c>
      <c r="Y36" s="12" t="b">
        <v>1</v>
      </c>
      <c r="Z36" s="12">
        <v>1</v>
      </c>
      <c r="AA36" s="12">
        <v>0.77990000000000004</v>
      </c>
      <c r="AB36" s="12" t="s">
        <v>1300</v>
      </c>
      <c r="AC36" s="12" t="s">
        <v>1168</v>
      </c>
      <c r="AD36" s="13" t="b">
        <v>1</v>
      </c>
    </row>
    <row r="37" spans="1:30">
      <c r="A37" t="s">
        <v>129</v>
      </c>
      <c r="B37" t="s">
        <v>130</v>
      </c>
      <c r="C37" t="s">
        <v>131</v>
      </c>
      <c r="D37" t="s">
        <v>127</v>
      </c>
      <c r="E37" t="s">
        <v>127</v>
      </c>
      <c r="F37" t="s">
        <v>132</v>
      </c>
      <c r="G37" t="s">
        <v>133</v>
      </c>
      <c r="L37" t="s">
        <v>23</v>
      </c>
      <c r="M37" t="s">
        <v>24</v>
      </c>
      <c r="N37" t="s">
        <v>31</v>
      </c>
      <c r="P37" s="11" t="s">
        <v>132</v>
      </c>
      <c r="Q37" s="12" t="s">
        <v>130</v>
      </c>
      <c r="R37" s="12" t="s">
        <v>130</v>
      </c>
      <c r="S37" s="12" t="b">
        <v>1</v>
      </c>
      <c r="T37" s="12" t="b">
        <v>1</v>
      </c>
      <c r="U37" s="12">
        <v>1</v>
      </c>
      <c r="V37" s="12" t="s">
        <v>131</v>
      </c>
      <c r="W37" s="12" t="s">
        <v>131</v>
      </c>
      <c r="X37" s="12" t="b">
        <v>1</v>
      </c>
      <c r="Y37" s="12" t="b">
        <v>1</v>
      </c>
      <c r="Z37" s="12">
        <v>1</v>
      </c>
      <c r="AA37" s="12">
        <v>1</v>
      </c>
      <c r="AB37" s="12" t="s">
        <v>130</v>
      </c>
      <c r="AC37" s="12" t="s">
        <v>1464</v>
      </c>
      <c r="AD37" s="13" t="b">
        <v>1</v>
      </c>
    </row>
    <row r="38" spans="1:30">
      <c r="A38" t="s">
        <v>134</v>
      </c>
      <c r="B38" t="s">
        <v>135</v>
      </c>
      <c r="C38" t="s">
        <v>136</v>
      </c>
      <c r="D38" t="s">
        <v>19</v>
      </c>
      <c r="E38" t="s">
        <v>20</v>
      </c>
      <c r="F38" t="s">
        <v>134</v>
      </c>
      <c r="G38" t="s">
        <v>137</v>
      </c>
      <c r="H38" t="s">
        <v>22</v>
      </c>
      <c r="L38" t="s">
        <v>23</v>
      </c>
      <c r="M38" t="s">
        <v>24</v>
      </c>
      <c r="N38" t="s">
        <v>25</v>
      </c>
      <c r="P38" s="11" t="s">
        <v>134</v>
      </c>
      <c r="Q38" s="12" t="s">
        <v>135</v>
      </c>
      <c r="R38" s="12" t="s">
        <v>135</v>
      </c>
      <c r="S38" s="12" t="b">
        <v>1</v>
      </c>
      <c r="T38" s="12" t="b">
        <v>1</v>
      </c>
      <c r="U38" s="12">
        <v>1</v>
      </c>
      <c r="V38" s="12" t="s">
        <v>136</v>
      </c>
      <c r="W38" s="12" t="s">
        <v>136</v>
      </c>
      <c r="X38" s="12" t="b">
        <v>1</v>
      </c>
      <c r="Y38" s="12" t="b">
        <v>1</v>
      </c>
      <c r="Z38" s="12">
        <v>1</v>
      </c>
      <c r="AA38" s="12">
        <v>1.1819999999999999</v>
      </c>
      <c r="AB38" s="12" t="s">
        <v>135</v>
      </c>
      <c r="AC38" s="12" t="s">
        <v>631</v>
      </c>
      <c r="AD38" s="13" t="b">
        <v>1</v>
      </c>
    </row>
    <row r="39" spans="1:30">
      <c r="A39" t="s">
        <v>138</v>
      </c>
      <c r="B39" t="s">
        <v>84</v>
      </c>
      <c r="C39" t="s">
        <v>139</v>
      </c>
      <c r="D39" t="s">
        <v>19</v>
      </c>
      <c r="E39" t="s">
        <v>20</v>
      </c>
      <c r="F39" t="s">
        <v>86</v>
      </c>
      <c r="G39" t="s">
        <v>140</v>
      </c>
      <c r="H39" t="s">
        <v>22</v>
      </c>
      <c r="I39" t="s">
        <v>141</v>
      </c>
      <c r="L39" t="s">
        <v>23</v>
      </c>
      <c r="M39" t="s">
        <v>24</v>
      </c>
      <c r="N39" t="s">
        <v>25</v>
      </c>
      <c r="P39" s="11" t="s">
        <v>86</v>
      </c>
      <c r="Q39" s="12" t="s">
        <v>84</v>
      </c>
      <c r="R39" s="12" t="s">
        <v>84</v>
      </c>
      <c r="S39" s="12" t="b">
        <v>1</v>
      </c>
      <c r="T39" s="12" t="b">
        <v>1</v>
      </c>
      <c r="U39" s="12">
        <v>1</v>
      </c>
      <c r="V39" s="12" t="s">
        <v>139</v>
      </c>
      <c r="W39" s="12" t="s">
        <v>1456</v>
      </c>
      <c r="X39" s="12" t="b">
        <v>0</v>
      </c>
      <c r="Y39" s="12" t="b">
        <v>1</v>
      </c>
      <c r="Z39" s="12">
        <v>5</v>
      </c>
      <c r="AA39" s="12">
        <v>1.0927</v>
      </c>
      <c r="AB39" s="12" t="s">
        <v>1301</v>
      </c>
      <c r="AC39" s="12" t="s">
        <v>1465</v>
      </c>
      <c r="AD39" s="13" t="b">
        <v>1</v>
      </c>
    </row>
    <row r="40" spans="1:30">
      <c r="A40" t="s">
        <v>142</v>
      </c>
      <c r="B40" t="s">
        <v>143</v>
      </c>
      <c r="C40" t="s">
        <v>144</v>
      </c>
      <c r="D40" t="s">
        <v>19</v>
      </c>
      <c r="E40" t="s">
        <v>20</v>
      </c>
      <c r="F40" t="s">
        <v>145</v>
      </c>
      <c r="G40" t="s">
        <v>146</v>
      </c>
      <c r="H40" t="s">
        <v>22</v>
      </c>
      <c r="L40" t="s">
        <v>23</v>
      </c>
      <c r="M40" t="s">
        <v>24</v>
      </c>
      <c r="N40" t="s">
        <v>25</v>
      </c>
      <c r="P40" s="11" t="s">
        <v>145</v>
      </c>
      <c r="Q40" s="12" t="s">
        <v>143</v>
      </c>
      <c r="R40" s="12" t="s">
        <v>143</v>
      </c>
      <c r="S40" s="12" t="b">
        <v>1</v>
      </c>
      <c r="T40" s="12" t="b">
        <v>1</v>
      </c>
      <c r="U40" s="12">
        <v>1</v>
      </c>
      <c r="V40" s="12" t="s">
        <v>144</v>
      </c>
      <c r="W40" s="12" t="s">
        <v>144</v>
      </c>
      <c r="X40" s="12" t="b">
        <v>1</v>
      </c>
      <c r="Y40" s="12" t="b">
        <v>1</v>
      </c>
      <c r="Z40" s="12">
        <v>1</v>
      </c>
      <c r="AA40" s="12">
        <v>0.81789999999999996</v>
      </c>
      <c r="AB40" s="12" t="s">
        <v>143</v>
      </c>
      <c r="AC40" s="12" t="s">
        <v>1466</v>
      </c>
      <c r="AD40" s="13" t="b">
        <v>1</v>
      </c>
    </row>
    <row r="41" spans="1:30">
      <c r="A41" t="s">
        <v>147</v>
      </c>
      <c r="B41" t="s">
        <v>148</v>
      </c>
      <c r="C41" t="s">
        <v>149</v>
      </c>
      <c r="D41" t="s">
        <v>19</v>
      </c>
      <c r="E41" t="s">
        <v>20</v>
      </c>
      <c r="F41" t="s">
        <v>147</v>
      </c>
      <c r="G41" t="s">
        <v>150</v>
      </c>
      <c r="H41" t="s">
        <v>22</v>
      </c>
      <c r="I41" t="s">
        <v>151</v>
      </c>
      <c r="L41" t="s">
        <v>23</v>
      </c>
      <c r="M41" t="s">
        <v>24</v>
      </c>
      <c r="N41" t="s">
        <v>25</v>
      </c>
      <c r="P41" s="11" t="s">
        <v>147</v>
      </c>
      <c r="Q41" s="12" t="s">
        <v>148</v>
      </c>
      <c r="R41" s="12" t="s">
        <v>148</v>
      </c>
      <c r="S41" s="12" t="b">
        <v>1</v>
      </c>
      <c r="T41" s="12" t="b">
        <v>1</v>
      </c>
      <c r="U41" s="12">
        <v>1</v>
      </c>
      <c r="V41" s="12" t="s">
        <v>149</v>
      </c>
      <c r="W41" s="12" t="s">
        <v>1467</v>
      </c>
      <c r="X41" s="12" t="b">
        <v>0</v>
      </c>
      <c r="Y41" s="12" t="b">
        <v>1</v>
      </c>
      <c r="Z41" s="12">
        <v>3</v>
      </c>
      <c r="AA41" s="12">
        <v>0.99450000000000005</v>
      </c>
      <c r="AB41" s="12" t="s">
        <v>1302</v>
      </c>
      <c r="AC41" s="12" t="s">
        <v>1468</v>
      </c>
      <c r="AD41" s="13" t="b">
        <v>1</v>
      </c>
    </row>
    <row r="42" spans="1:30">
      <c r="A42" s="2" t="s">
        <v>152</v>
      </c>
      <c r="B42" s="2" t="s">
        <v>152</v>
      </c>
      <c r="C42" s="2" t="s">
        <v>153</v>
      </c>
      <c r="D42" s="2" t="s">
        <v>19</v>
      </c>
      <c r="E42" s="2" t="s">
        <v>20</v>
      </c>
      <c r="F42" s="2" t="s">
        <v>154</v>
      </c>
      <c r="G42" s="2" t="s">
        <v>155</v>
      </c>
      <c r="H42" s="2" t="s">
        <v>22</v>
      </c>
      <c r="I42" s="2" t="s">
        <v>156</v>
      </c>
      <c r="J42" s="2"/>
      <c r="K42" s="2"/>
      <c r="L42" t="s">
        <v>23</v>
      </c>
      <c r="M42" t="s">
        <v>24</v>
      </c>
      <c r="N42" t="s">
        <v>49</v>
      </c>
      <c r="O42" s="2"/>
      <c r="P42" s="11" t="s">
        <v>154</v>
      </c>
      <c r="Q42" s="12" t="s">
        <v>152</v>
      </c>
      <c r="R42" s="12"/>
      <c r="S42" s="12" t="b">
        <v>0</v>
      </c>
      <c r="T42" s="12" t="b">
        <v>0</v>
      </c>
      <c r="U42" s="12"/>
      <c r="V42" s="12" t="s">
        <v>153</v>
      </c>
      <c r="W42" s="12"/>
      <c r="X42" s="12" t="b">
        <v>0</v>
      </c>
      <c r="Y42" s="12" t="b">
        <v>0</v>
      </c>
      <c r="Z42" s="12"/>
      <c r="AA42" s="12"/>
      <c r="AB42" s="12"/>
      <c r="AC42" s="12"/>
      <c r="AD42" s="13" t="b">
        <v>0</v>
      </c>
    </row>
    <row r="43" spans="1:30">
      <c r="A43" s="2" t="s">
        <v>157</v>
      </c>
      <c r="B43" s="2" t="s">
        <v>158</v>
      </c>
      <c r="C43" s="2" t="s">
        <v>159</v>
      </c>
      <c r="D43" s="2" t="s">
        <v>19</v>
      </c>
      <c r="E43" s="2" t="s">
        <v>20</v>
      </c>
      <c r="F43" s="2" t="s">
        <v>157</v>
      </c>
      <c r="G43" s="2" t="s">
        <v>160</v>
      </c>
      <c r="H43" s="2" t="s">
        <v>22</v>
      </c>
      <c r="I43" s="2" t="s">
        <v>161</v>
      </c>
      <c r="J43" s="2"/>
      <c r="K43" s="2"/>
      <c r="L43" t="s">
        <v>23</v>
      </c>
      <c r="M43" t="s">
        <v>24</v>
      </c>
      <c r="N43" t="s">
        <v>25</v>
      </c>
      <c r="P43" s="11" t="s">
        <v>157</v>
      </c>
      <c r="Q43" s="12" t="s">
        <v>158</v>
      </c>
      <c r="R43" s="12" t="s">
        <v>158</v>
      </c>
      <c r="S43" s="12" t="b">
        <v>1</v>
      </c>
      <c r="T43" s="12" t="b">
        <v>1</v>
      </c>
      <c r="U43" s="12">
        <v>1</v>
      </c>
      <c r="V43" s="12" t="s">
        <v>159</v>
      </c>
      <c r="W43" s="12" t="s">
        <v>159</v>
      </c>
      <c r="X43" s="12" t="b">
        <v>1</v>
      </c>
      <c r="Y43" s="12" t="b">
        <v>1</v>
      </c>
      <c r="Z43" s="12">
        <v>1</v>
      </c>
      <c r="AA43" s="12">
        <v>1.1376999999999999</v>
      </c>
      <c r="AB43" s="12" t="s">
        <v>1303</v>
      </c>
      <c r="AC43" s="12" t="s">
        <v>1469</v>
      </c>
      <c r="AD43" s="13" t="b">
        <v>1</v>
      </c>
    </row>
    <row r="44" spans="1:30">
      <c r="A44" s="2" t="s">
        <v>162</v>
      </c>
      <c r="B44" s="2" t="s">
        <v>163</v>
      </c>
      <c r="C44" s="2" t="s">
        <v>164</v>
      </c>
      <c r="D44" s="2" t="s">
        <v>19</v>
      </c>
      <c r="E44" s="2" t="s">
        <v>20</v>
      </c>
      <c r="F44" s="2" t="s">
        <v>165</v>
      </c>
      <c r="G44" s="2" t="s">
        <v>166</v>
      </c>
      <c r="H44" s="2" t="s">
        <v>22</v>
      </c>
      <c r="I44" s="2" t="s">
        <v>167</v>
      </c>
      <c r="J44" s="2"/>
      <c r="K44" s="2"/>
      <c r="L44" t="s">
        <v>23</v>
      </c>
      <c r="M44" t="s">
        <v>24</v>
      </c>
      <c r="N44" t="s">
        <v>49</v>
      </c>
      <c r="P44" s="11" t="s">
        <v>165</v>
      </c>
      <c r="Q44" s="12" t="s">
        <v>163</v>
      </c>
      <c r="R44" s="12" t="s">
        <v>168</v>
      </c>
      <c r="S44" s="12" t="b">
        <v>0</v>
      </c>
      <c r="T44" s="12" t="b">
        <v>0</v>
      </c>
      <c r="U44" s="12"/>
      <c r="V44" s="12" t="s">
        <v>164</v>
      </c>
      <c r="W44" s="12" t="s">
        <v>169</v>
      </c>
      <c r="X44" s="12" t="b">
        <v>0</v>
      </c>
      <c r="Y44" s="12" t="b">
        <v>0</v>
      </c>
      <c r="Z44" s="12"/>
      <c r="AA44" s="12">
        <v>1.2</v>
      </c>
      <c r="AB44" s="12" t="s">
        <v>168</v>
      </c>
      <c r="AC44" s="12" t="s">
        <v>169</v>
      </c>
      <c r="AD44" s="13" t="b">
        <v>1</v>
      </c>
    </row>
    <row r="45" spans="1:30">
      <c r="A45" s="2" t="s">
        <v>165</v>
      </c>
      <c r="B45" s="2" t="s">
        <v>168</v>
      </c>
      <c r="C45" s="2" t="s">
        <v>169</v>
      </c>
      <c r="D45" s="2" t="s">
        <v>19</v>
      </c>
      <c r="E45" s="2" t="s">
        <v>20</v>
      </c>
      <c r="F45" s="2" t="s">
        <v>165</v>
      </c>
      <c r="G45" s="2" t="s">
        <v>170</v>
      </c>
      <c r="H45" s="2" t="s">
        <v>22</v>
      </c>
      <c r="I45" s="2" t="s">
        <v>171</v>
      </c>
      <c r="J45" s="2"/>
      <c r="K45" s="2"/>
      <c r="L45" t="s">
        <v>23</v>
      </c>
      <c r="M45" t="s">
        <v>24</v>
      </c>
      <c r="N45" t="s">
        <v>31</v>
      </c>
      <c r="P45" s="11" t="s">
        <v>165</v>
      </c>
      <c r="Q45" s="12" t="s">
        <v>168</v>
      </c>
      <c r="R45" s="12" t="s">
        <v>168</v>
      </c>
      <c r="S45" s="12" t="b">
        <v>1</v>
      </c>
      <c r="T45" s="12" t="b">
        <v>1</v>
      </c>
      <c r="U45" s="12">
        <v>1</v>
      </c>
      <c r="V45" s="12" t="s">
        <v>169</v>
      </c>
      <c r="W45" s="12" t="s">
        <v>169</v>
      </c>
      <c r="X45" s="12" t="b">
        <v>1</v>
      </c>
      <c r="Y45" s="12" t="b">
        <v>1</v>
      </c>
      <c r="Z45" s="12">
        <v>1</v>
      </c>
      <c r="AA45" s="12">
        <v>1.2</v>
      </c>
      <c r="AB45" s="12" t="s">
        <v>168</v>
      </c>
      <c r="AC45" s="12" t="s">
        <v>169</v>
      </c>
      <c r="AD45" s="13" t="b">
        <v>1</v>
      </c>
    </row>
    <row r="46" spans="1:30">
      <c r="A46" s="2" t="s">
        <v>172</v>
      </c>
      <c r="B46" s="2" t="s">
        <v>173</v>
      </c>
      <c r="C46" s="2" t="s">
        <v>174</v>
      </c>
      <c r="D46" s="2" t="s">
        <v>19</v>
      </c>
      <c r="E46" s="2" t="s">
        <v>20</v>
      </c>
      <c r="F46" s="2" t="s">
        <v>175</v>
      </c>
      <c r="G46" s="2" t="s">
        <v>176</v>
      </c>
      <c r="H46" s="2"/>
      <c r="I46" s="2"/>
      <c r="J46" s="2"/>
      <c r="K46" s="2"/>
      <c r="L46" t="s">
        <v>23</v>
      </c>
      <c r="M46" t="s">
        <v>24</v>
      </c>
      <c r="N46" t="s">
        <v>49</v>
      </c>
      <c r="P46" s="11" t="s">
        <v>175</v>
      </c>
      <c r="Q46" s="12" t="s">
        <v>173</v>
      </c>
      <c r="R46" s="12" t="s">
        <v>1189</v>
      </c>
      <c r="S46" s="12" t="b">
        <v>0</v>
      </c>
      <c r="T46" s="12" t="b">
        <v>0</v>
      </c>
      <c r="U46" s="12"/>
      <c r="V46" s="12" t="s">
        <v>174</v>
      </c>
      <c r="W46" s="12" t="s">
        <v>1190</v>
      </c>
      <c r="X46" s="12" t="b">
        <v>0</v>
      </c>
      <c r="Y46" s="12" t="b">
        <v>0</v>
      </c>
      <c r="Z46" s="12"/>
      <c r="AA46" s="12">
        <v>0.61980000000000002</v>
      </c>
      <c r="AB46" s="12" t="s">
        <v>1002</v>
      </c>
      <c r="AC46" s="12" t="s">
        <v>1191</v>
      </c>
      <c r="AD46" s="13" t="b">
        <v>1</v>
      </c>
    </row>
    <row r="47" spans="1:30">
      <c r="A47" t="s">
        <v>16</v>
      </c>
      <c r="B47" t="s">
        <v>17</v>
      </c>
      <c r="C47" t="s">
        <v>177</v>
      </c>
      <c r="D47" t="s">
        <v>44</v>
      </c>
      <c r="E47" t="s">
        <v>20</v>
      </c>
      <c r="F47" t="s">
        <v>178</v>
      </c>
      <c r="H47" t="s">
        <v>179</v>
      </c>
      <c r="J47">
        <v>15670</v>
      </c>
      <c r="L47" t="s">
        <v>180</v>
      </c>
      <c r="M47" t="s">
        <v>24</v>
      </c>
      <c r="N47" t="s">
        <v>49</v>
      </c>
      <c r="P47" s="11" t="s">
        <v>178</v>
      </c>
      <c r="Q47" s="12" t="s">
        <v>17</v>
      </c>
      <c r="R47" s="12" t="s">
        <v>1192</v>
      </c>
      <c r="S47" s="12" t="b">
        <v>0</v>
      </c>
      <c r="T47" s="12" t="b">
        <v>0</v>
      </c>
      <c r="U47" s="12"/>
      <c r="V47" s="12" t="s">
        <v>177</v>
      </c>
      <c r="W47" s="12" t="s">
        <v>43</v>
      </c>
      <c r="X47" s="12" t="b">
        <v>0</v>
      </c>
      <c r="Y47" s="12" t="b">
        <v>0</v>
      </c>
      <c r="Z47" s="12"/>
      <c r="AA47" s="12">
        <v>0.6986</v>
      </c>
      <c r="AB47" s="12" t="s">
        <v>1304</v>
      </c>
      <c r="AC47" s="12" t="s">
        <v>1470</v>
      </c>
      <c r="AD47" s="13" t="b">
        <v>1</v>
      </c>
    </row>
    <row r="48" spans="1:30">
      <c r="A48" t="s">
        <v>26</v>
      </c>
      <c r="B48" t="s">
        <v>27</v>
      </c>
      <c r="C48" t="s">
        <v>181</v>
      </c>
      <c r="D48" t="s">
        <v>127</v>
      </c>
      <c r="E48" t="s">
        <v>127</v>
      </c>
      <c r="F48" t="s">
        <v>182</v>
      </c>
      <c r="H48" t="s">
        <v>183</v>
      </c>
      <c r="J48">
        <v>12867</v>
      </c>
      <c r="L48" t="s">
        <v>180</v>
      </c>
      <c r="M48" t="s">
        <v>24</v>
      </c>
      <c r="N48" t="s">
        <v>31</v>
      </c>
      <c r="P48" s="11" t="s">
        <v>182</v>
      </c>
      <c r="Q48" s="12" t="s">
        <v>27</v>
      </c>
      <c r="R48" s="12" t="s">
        <v>27</v>
      </c>
      <c r="S48" s="12" t="b">
        <v>1</v>
      </c>
      <c r="T48" s="12" t="b">
        <v>1</v>
      </c>
      <c r="U48" s="12">
        <v>1</v>
      </c>
      <c r="V48" s="12" t="s">
        <v>181</v>
      </c>
      <c r="W48" s="12" t="s">
        <v>181</v>
      </c>
      <c r="X48" s="12" t="b">
        <v>1</v>
      </c>
      <c r="Y48" s="12" t="b">
        <v>1</v>
      </c>
      <c r="Z48" s="12">
        <v>1</v>
      </c>
      <c r="AA48" s="12">
        <v>1.1752</v>
      </c>
      <c r="AB48" s="12" t="s">
        <v>1289</v>
      </c>
      <c r="AC48" s="12" t="s">
        <v>1471</v>
      </c>
      <c r="AD48" s="13" t="b">
        <v>1</v>
      </c>
    </row>
    <row r="49" spans="1:30">
      <c r="A49" t="s">
        <v>184</v>
      </c>
      <c r="B49" t="s">
        <v>185</v>
      </c>
      <c r="C49" t="s">
        <v>186</v>
      </c>
      <c r="D49" t="s">
        <v>19</v>
      </c>
      <c r="E49" t="s">
        <v>20</v>
      </c>
      <c r="F49" t="s">
        <v>187</v>
      </c>
      <c r="H49" t="s">
        <v>188</v>
      </c>
      <c r="J49">
        <v>15010</v>
      </c>
      <c r="L49" t="s">
        <v>180</v>
      </c>
      <c r="M49" t="s">
        <v>24</v>
      </c>
      <c r="N49" t="s">
        <v>25</v>
      </c>
      <c r="P49" s="11" t="s">
        <v>187</v>
      </c>
      <c r="Q49" s="12" t="s">
        <v>185</v>
      </c>
      <c r="R49" s="12" t="s">
        <v>185</v>
      </c>
      <c r="S49" s="12" t="b">
        <v>1</v>
      </c>
      <c r="T49" s="12" t="b">
        <v>1</v>
      </c>
      <c r="U49" s="12">
        <v>1</v>
      </c>
      <c r="V49" s="12" t="s">
        <v>186</v>
      </c>
      <c r="W49" s="12" t="s">
        <v>186</v>
      </c>
      <c r="X49" s="12" t="b">
        <v>1</v>
      </c>
      <c r="Y49" s="12" t="b">
        <v>1</v>
      </c>
      <c r="Z49" s="12">
        <v>1</v>
      </c>
      <c r="AA49" s="12">
        <v>1.1178999999999999</v>
      </c>
      <c r="AB49" s="12" t="s">
        <v>185</v>
      </c>
      <c r="AC49" s="12" t="s">
        <v>1197</v>
      </c>
      <c r="AD49" s="13" t="b">
        <v>1</v>
      </c>
    </row>
    <row r="50" spans="1:30">
      <c r="A50" t="s">
        <v>53</v>
      </c>
      <c r="B50" t="s">
        <v>54</v>
      </c>
      <c r="C50" t="s">
        <v>55</v>
      </c>
      <c r="D50" t="s">
        <v>19</v>
      </c>
      <c r="E50" t="s">
        <v>20</v>
      </c>
      <c r="F50" t="s">
        <v>53</v>
      </c>
      <c r="H50" t="s">
        <v>189</v>
      </c>
      <c r="J50">
        <v>5628</v>
      </c>
      <c r="L50" t="s">
        <v>180</v>
      </c>
      <c r="M50" t="s">
        <v>24</v>
      </c>
      <c r="N50" t="s">
        <v>25</v>
      </c>
      <c r="P50" s="11" t="s">
        <v>53</v>
      </c>
      <c r="Q50" s="12" t="s">
        <v>54</v>
      </c>
      <c r="R50" s="12" t="s">
        <v>54</v>
      </c>
      <c r="S50" s="12" t="b">
        <v>1</v>
      </c>
      <c r="T50" s="12" t="b">
        <v>1</v>
      </c>
      <c r="U50" s="12">
        <v>1</v>
      </c>
      <c r="V50" s="12" t="s">
        <v>55</v>
      </c>
      <c r="W50" s="12" t="s">
        <v>1450</v>
      </c>
      <c r="X50" s="12" t="b">
        <v>0</v>
      </c>
      <c r="Y50" s="12" t="b">
        <v>1</v>
      </c>
      <c r="Z50" s="12">
        <v>3</v>
      </c>
      <c r="AA50" s="12">
        <v>1.1528</v>
      </c>
      <c r="AB50" s="12" t="s">
        <v>1292</v>
      </c>
      <c r="AC50" s="12" t="s">
        <v>1451</v>
      </c>
      <c r="AD50" s="13" t="b">
        <v>1</v>
      </c>
    </row>
    <row r="51" spans="1:30">
      <c r="A51" t="s">
        <v>190</v>
      </c>
      <c r="B51" t="s">
        <v>191</v>
      </c>
      <c r="C51" t="s">
        <v>192</v>
      </c>
      <c r="D51" t="s">
        <v>19</v>
      </c>
      <c r="E51" t="s">
        <v>20</v>
      </c>
      <c r="F51" t="s">
        <v>193</v>
      </c>
      <c r="H51" t="s">
        <v>22</v>
      </c>
      <c r="J51">
        <v>3130</v>
      </c>
      <c r="L51" t="s">
        <v>180</v>
      </c>
      <c r="M51" t="s">
        <v>24</v>
      </c>
      <c r="N51" t="s">
        <v>25</v>
      </c>
      <c r="P51" s="11" t="s">
        <v>193</v>
      </c>
      <c r="Q51" s="12" t="s">
        <v>191</v>
      </c>
      <c r="R51" s="12" t="s">
        <v>191</v>
      </c>
      <c r="S51" s="12" t="b">
        <v>1</v>
      </c>
      <c r="T51" s="12" t="b">
        <v>1</v>
      </c>
      <c r="U51" s="12">
        <v>1</v>
      </c>
      <c r="V51" s="12" t="s">
        <v>192</v>
      </c>
      <c r="W51" s="12" t="s">
        <v>192</v>
      </c>
      <c r="X51" s="12" t="b">
        <v>1</v>
      </c>
      <c r="Y51" s="12" t="b">
        <v>1</v>
      </c>
      <c r="Z51" s="12">
        <v>1</v>
      </c>
      <c r="AA51" s="12">
        <v>0.9</v>
      </c>
      <c r="AB51" s="12" t="s">
        <v>1004</v>
      </c>
      <c r="AC51" s="12" t="s">
        <v>1472</v>
      </c>
      <c r="AD51" s="13" t="b">
        <v>1</v>
      </c>
    </row>
    <row r="52" spans="1:30">
      <c r="A52" t="s">
        <v>68</v>
      </c>
      <c r="B52" t="s">
        <v>69</v>
      </c>
      <c r="C52" t="s">
        <v>70</v>
      </c>
      <c r="D52" t="s">
        <v>19</v>
      </c>
      <c r="E52" t="s">
        <v>20</v>
      </c>
      <c r="F52" t="s">
        <v>194</v>
      </c>
      <c r="H52" t="s">
        <v>189</v>
      </c>
      <c r="J52">
        <v>3155</v>
      </c>
      <c r="L52" t="s">
        <v>180</v>
      </c>
      <c r="M52" t="s">
        <v>24</v>
      </c>
      <c r="N52" t="s">
        <v>31</v>
      </c>
      <c r="P52" s="11" t="s">
        <v>194</v>
      </c>
      <c r="Q52" s="12" t="s">
        <v>69</v>
      </c>
      <c r="R52" s="12" t="s">
        <v>69</v>
      </c>
      <c r="S52" s="12" t="b">
        <v>1</v>
      </c>
      <c r="T52" s="12" t="b">
        <v>1</v>
      </c>
      <c r="U52" s="12">
        <v>1</v>
      </c>
      <c r="V52" s="12" t="s">
        <v>70</v>
      </c>
      <c r="W52" s="12" t="s">
        <v>70</v>
      </c>
      <c r="X52" s="12" t="b">
        <v>1</v>
      </c>
      <c r="Y52" s="12" t="b">
        <v>1</v>
      </c>
      <c r="Z52" s="12">
        <v>1</v>
      </c>
      <c r="AA52" s="12">
        <v>1.0499000000000001</v>
      </c>
      <c r="AB52" s="12" t="s">
        <v>1295</v>
      </c>
      <c r="AC52" s="12" t="s">
        <v>1473</v>
      </c>
      <c r="AD52" s="13" t="b">
        <v>1</v>
      </c>
    </row>
    <row r="53" spans="1:30">
      <c r="A53" t="s">
        <v>195</v>
      </c>
      <c r="B53" t="s">
        <v>196</v>
      </c>
      <c r="C53" t="s">
        <v>197</v>
      </c>
      <c r="D53" t="s">
        <v>19</v>
      </c>
      <c r="E53" t="s">
        <v>20</v>
      </c>
      <c r="F53" t="s">
        <v>198</v>
      </c>
      <c r="H53" t="s">
        <v>189</v>
      </c>
      <c r="J53">
        <v>3098</v>
      </c>
      <c r="L53" t="s">
        <v>180</v>
      </c>
      <c r="M53" t="s">
        <v>24</v>
      </c>
      <c r="N53" t="s">
        <v>25</v>
      </c>
      <c r="P53" s="11" t="s">
        <v>198</v>
      </c>
      <c r="Q53" s="12" t="s">
        <v>196</v>
      </c>
      <c r="R53" s="12" t="s">
        <v>335</v>
      </c>
      <c r="S53" s="12" t="b">
        <v>0</v>
      </c>
      <c r="T53" s="12" t="b">
        <v>1</v>
      </c>
      <c r="U53" s="12">
        <v>2</v>
      </c>
      <c r="V53" s="12" t="s">
        <v>197</v>
      </c>
      <c r="W53" s="12" t="s">
        <v>1456</v>
      </c>
      <c r="X53" s="12" t="b">
        <v>0</v>
      </c>
      <c r="Y53" s="12" t="b">
        <v>1</v>
      </c>
      <c r="Z53" s="12">
        <v>5</v>
      </c>
      <c r="AA53" s="12">
        <v>0.89019999999999999</v>
      </c>
      <c r="AB53" s="12" t="s">
        <v>1306</v>
      </c>
      <c r="AC53" s="12" t="s">
        <v>1474</v>
      </c>
      <c r="AD53" s="13" t="b">
        <v>1</v>
      </c>
    </row>
    <row r="54" spans="1:30">
      <c r="A54" t="s">
        <v>199</v>
      </c>
      <c r="B54" t="s">
        <v>200</v>
      </c>
      <c r="C54" t="s">
        <v>201</v>
      </c>
      <c r="D54" t="s">
        <v>19</v>
      </c>
      <c r="E54" t="s">
        <v>20</v>
      </c>
      <c r="F54" t="s">
        <v>202</v>
      </c>
      <c r="H54" t="s">
        <v>203</v>
      </c>
      <c r="J54">
        <v>3240</v>
      </c>
      <c r="L54" t="s">
        <v>180</v>
      </c>
      <c r="M54" t="s">
        <v>24</v>
      </c>
      <c r="N54" t="s">
        <v>25</v>
      </c>
      <c r="P54" s="11" t="s">
        <v>202</v>
      </c>
      <c r="Q54" s="12" t="s">
        <v>200</v>
      </c>
      <c r="R54" s="12" t="s">
        <v>200</v>
      </c>
      <c r="S54" s="12" t="b">
        <v>1</v>
      </c>
      <c r="T54" s="12" t="b">
        <v>1</v>
      </c>
      <c r="U54" s="12">
        <v>1</v>
      </c>
      <c r="V54" s="12" t="s">
        <v>201</v>
      </c>
      <c r="W54" s="12" t="s">
        <v>201</v>
      </c>
      <c r="X54" s="12" t="b">
        <v>1</v>
      </c>
      <c r="Y54" s="12" t="b">
        <v>1</v>
      </c>
      <c r="Z54" s="12">
        <v>1</v>
      </c>
      <c r="AA54" s="12">
        <v>1.1129</v>
      </c>
      <c r="AB54" s="12" t="s">
        <v>1308</v>
      </c>
      <c r="AC54" s="12" t="s">
        <v>1475</v>
      </c>
      <c r="AD54" s="13" t="b">
        <v>1</v>
      </c>
    </row>
    <row r="55" spans="1:30">
      <c r="A55" t="s">
        <v>204</v>
      </c>
      <c r="B55" t="s">
        <v>205</v>
      </c>
      <c r="C55" t="s">
        <v>206</v>
      </c>
      <c r="D55" t="s">
        <v>19</v>
      </c>
      <c r="E55" t="s">
        <v>20</v>
      </c>
      <c r="F55" t="s">
        <v>207</v>
      </c>
      <c r="H55" t="s">
        <v>208</v>
      </c>
      <c r="J55">
        <v>10566</v>
      </c>
      <c r="L55" t="s">
        <v>180</v>
      </c>
      <c r="M55" t="s">
        <v>24</v>
      </c>
      <c r="N55" t="s">
        <v>31</v>
      </c>
      <c r="P55" s="11" t="s">
        <v>207</v>
      </c>
      <c r="Q55" s="12" t="s">
        <v>205</v>
      </c>
      <c r="R55" s="12" t="s">
        <v>205</v>
      </c>
      <c r="S55" s="12" t="b">
        <v>1</v>
      </c>
      <c r="T55" s="12" t="b">
        <v>1</v>
      </c>
      <c r="U55" s="12">
        <v>1</v>
      </c>
      <c r="V55" s="12" t="s">
        <v>206</v>
      </c>
      <c r="W55" s="12" t="s">
        <v>206</v>
      </c>
      <c r="X55" s="12" t="b">
        <v>1</v>
      </c>
      <c r="Y55" s="12" t="b">
        <v>1</v>
      </c>
      <c r="Z55" s="12">
        <v>1</v>
      </c>
      <c r="AA55" s="12">
        <v>1.2</v>
      </c>
      <c r="AB55" s="12" t="s">
        <v>1309</v>
      </c>
      <c r="AC55" s="12" t="s">
        <v>1476</v>
      </c>
      <c r="AD55" s="13" t="b">
        <v>1</v>
      </c>
    </row>
    <row r="56" spans="1:30">
      <c r="A56" t="s">
        <v>209</v>
      </c>
      <c r="B56" t="s">
        <v>210</v>
      </c>
      <c r="C56" t="s">
        <v>211</v>
      </c>
      <c r="D56" t="s">
        <v>19</v>
      </c>
      <c r="E56" t="s">
        <v>20</v>
      </c>
      <c r="F56" t="s">
        <v>212</v>
      </c>
      <c r="H56" t="s">
        <v>189</v>
      </c>
      <c r="J56">
        <v>9059</v>
      </c>
      <c r="L56" t="s">
        <v>180</v>
      </c>
      <c r="M56" t="s">
        <v>24</v>
      </c>
      <c r="N56" t="s">
        <v>25</v>
      </c>
      <c r="P56" s="11" t="s">
        <v>212</v>
      </c>
      <c r="Q56" s="12" t="s">
        <v>210</v>
      </c>
      <c r="R56" s="12" t="s">
        <v>210</v>
      </c>
      <c r="S56" s="12" t="b">
        <v>1</v>
      </c>
      <c r="T56" s="12" t="b">
        <v>1</v>
      </c>
      <c r="U56" s="12">
        <v>1</v>
      </c>
      <c r="V56" s="12" t="s">
        <v>211</v>
      </c>
      <c r="W56" s="12" t="s">
        <v>211</v>
      </c>
      <c r="X56" s="12" t="b">
        <v>1</v>
      </c>
      <c r="Y56" s="12" t="b">
        <v>1</v>
      </c>
      <c r="Z56" s="12">
        <v>1</v>
      </c>
      <c r="AA56" s="12">
        <v>1.1357999999999999</v>
      </c>
      <c r="AB56" s="12" t="s">
        <v>210</v>
      </c>
      <c r="AC56" s="12" t="s">
        <v>1477</v>
      </c>
      <c r="AD56" s="13" t="b">
        <v>1</v>
      </c>
    </row>
    <row r="57" spans="1:30">
      <c r="A57" t="s">
        <v>213</v>
      </c>
      <c r="B57" t="s">
        <v>214</v>
      </c>
      <c r="C57" t="s">
        <v>215</v>
      </c>
      <c r="D57" t="s">
        <v>44</v>
      </c>
      <c r="E57" t="s">
        <v>20</v>
      </c>
      <c r="F57" t="s">
        <v>216</v>
      </c>
      <c r="H57" t="s">
        <v>217</v>
      </c>
      <c r="J57">
        <v>10523</v>
      </c>
      <c r="L57" t="s">
        <v>180</v>
      </c>
      <c r="M57" t="s">
        <v>24</v>
      </c>
      <c r="N57" t="s">
        <v>49</v>
      </c>
      <c r="P57" s="11" t="s">
        <v>216</v>
      </c>
      <c r="Q57" s="12" t="s">
        <v>214</v>
      </c>
      <c r="R57" s="12" t="s">
        <v>1310</v>
      </c>
      <c r="S57" s="12" t="b">
        <v>0</v>
      </c>
      <c r="T57" s="12" t="b">
        <v>0</v>
      </c>
      <c r="U57" s="12"/>
      <c r="V57" s="12" t="s">
        <v>215</v>
      </c>
      <c r="W57" s="12" t="s">
        <v>505</v>
      </c>
      <c r="X57" s="12" t="b">
        <v>0</v>
      </c>
      <c r="Y57" s="12" t="b">
        <v>0</v>
      </c>
      <c r="Z57" s="12"/>
      <c r="AA57" s="12">
        <v>0.9093</v>
      </c>
      <c r="AB57" s="12" t="s">
        <v>1311</v>
      </c>
      <c r="AC57" s="12" t="s">
        <v>1478</v>
      </c>
      <c r="AD57" s="13" t="b">
        <v>1</v>
      </c>
    </row>
    <row r="58" spans="1:30">
      <c r="A58" t="s">
        <v>213</v>
      </c>
      <c r="B58" t="s">
        <v>214</v>
      </c>
      <c r="C58" t="s">
        <v>218</v>
      </c>
      <c r="D58" t="s">
        <v>19</v>
      </c>
      <c r="E58" t="s">
        <v>20</v>
      </c>
      <c r="F58" t="s">
        <v>216</v>
      </c>
      <c r="H58" t="s">
        <v>219</v>
      </c>
      <c r="J58">
        <v>10521</v>
      </c>
      <c r="L58" t="s">
        <v>180</v>
      </c>
      <c r="M58" t="s">
        <v>24</v>
      </c>
      <c r="N58" t="s">
        <v>49</v>
      </c>
      <c r="P58" s="11" t="s">
        <v>216</v>
      </c>
      <c r="Q58" s="12" t="s">
        <v>214</v>
      </c>
      <c r="R58" s="12" t="s">
        <v>925</v>
      </c>
      <c r="S58" s="12" t="b">
        <v>0</v>
      </c>
      <c r="T58" s="12" t="b">
        <v>0</v>
      </c>
      <c r="U58" s="12"/>
      <c r="V58" s="12" t="s">
        <v>218</v>
      </c>
      <c r="W58" s="12" t="s">
        <v>1479</v>
      </c>
      <c r="X58" s="12" t="b">
        <v>0</v>
      </c>
      <c r="Y58" s="12" t="b">
        <v>0</v>
      </c>
      <c r="Z58" s="12"/>
      <c r="AA58" s="12">
        <v>0.82720000000000005</v>
      </c>
      <c r="AB58" s="12" t="s">
        <v>1008</v>
      </c>
      <c r="AC58" s="12" t="s">
        <v>1480</v>
      </c>
      <c r="AD58" s="13" t="b">
        <v>1</v>
      </c>
    </row>
    <row r="59" spans="1:30">
      <c r="A59" t="s">
        <v>220</v>
      </c>
      <c r="B59" t="s">
        <v>221</v>
      </c>
      <c r="C59" t="s">
        <v>222</v>
      </c>
      <c r="D59" t="s">
        <v>19</v>
      </c>
      <c r="E59" t="s">
        <v>20</v>
      </c>
      <c r="F59" t="s">
        <v>223</v>
      </c>
      <c r="H59" t="s">
        <v>22</v>
      </c>
      <c r="J59">
        <v>9770</v>
      </c>
      <c r="L59" t="s">
        <v>180</v>
      </c>
      <c r="M59" t="s">
        <v>24</v>
      </c>
      <c r="N59" t="s">
        <v>49</v>
      </c>
      <c r="P59" s="11" t="s">
        <v>223</v>
      </c>
      <c r="Q59" s="12" t="s">
        <v>221</v>
      </c>
      <c r="R59" s="12" t="s">
        <v>221</v>
      </c>
      <c r="S59" s="12" t="b">
        <v>1</v>
      </c>
      <c r="T59" s="12" t="b">
        <v>1</v>
      </c>
      <c r="U59" s="12">
        <v>1</v>
      </c>
      <c r="V59" s="12" t="s">
        <v>222</v>
      </c>
      <c r="W59" s="12" t="s">
        <v>222</v>
      </c>
      <c r="X59" s="12" t="b">
        <v>1</v>
      </c>
      <c r="Y59" s="12" t="b">
        <v>1</v>
      </c>
      <c r="Z59" s="12">
        <v>1</v>
      </c>
      <c r="AA59" s="12">
        <v>1.1335</v>
      </c>
      <c r="AB59" s="12" t="s">
        <v>221</v>
      </c>
      <c r="AC59" s="12" t="s">
        <v>1481</v>
      </c>
      <c r="AD59" s="13" t="b">
        <v>1</v>
      </c>
    </row>
    <row r="60" spans="1:30">
      <c r="A60" t="s">
        <v>224</v>
      </c>
      <c r="B60" t="s">
        <v>148</v>
      </c>
      <c r="C60" t="s">
        <v>149</v>
      </c>
      <c r="D60" t="s">
        <v>19</v>
      </c>
      <c r="E60" t="s">
        <v>20</v>
      </c>
      <c r="F60" t="s">
        <v>225</v>
      </c>
      <c r="H60" t="s">
        <v>226</v>
      </c>
      <c r="J60">
        <v>15418</v>
      </c>
      <c r="L60" t="s">
        <v>180</v>
      </c>
      <c r="M60" t="s">
        <v>24</v>
      </c>
      <c r="N60" t="s">
        <v>25</v>
      </c>
      <c r="P60" s="11" t="s">
        <v>225</v>
      </c>
      <c r="Q60" s="12" t="s">
        <v>148</v>
      </c>
      <c r="R60" s="12" t="s">
        <v>148</v>
      </c>
      <c r="S60" s="12" t="b">
        <v>1</v>
      </c>
      <c r="T60" s="12" t="b">
        <v>1</v>
      </c>
      <c r="U60" s="12">
        <v>1</v>
      </c>
      <c r="V60" s="12" t="s">
        <v>149</v>
      </c>
      <c r="W60" s="12" t="s">
        <v>1482</v>
      </c>
      <c r="X60" s="12" t="b">
        <v>0</v>
      </c>
      <c r="Y60" s="12" t="b">
        <v>1</v>
      </c>
      <c r="Z60" s="12">
        <v>5</v>
      </c>
      <c r="AA60" s="12">
        <v>0.99450000000000005</v>
      </c>
      <c r="AB60" s="12" t="s">
        <v>1302</v>
      </c>
      <c r="AC60" s="12" t="s">
        <v>1483</v>
      </c>
      <c r="AD60" s="13" t="b">
        <v>1</v>
      </c>
    </row>
    <row r="61" spans="1:30">
      <c r="A61" t="s">
        <v>227</v>
      </c>
      <c r="B61" t="s">
        <v>158</v>
      </c>
      <c r="C61" t="s">
        <v>159</v>
      </c>
      <c r="D61" t="s">
        <v>19</v>
      </c>
      <c r="E61" t="s">
        <v>20</v>
      </c>
      <c r="F61" t="s">
        <v>228</v>
      </c>
      <c r="H61" t="s">
        <v>229</v>
      </c>
      <c r="J61">
        <v>12829</v>
      </c>
      <c r="L61" t="s">
        <v>180</v>
      </c>
      <c r="M61" t="s">
        <v>24</v>
      </c>
      <c r="N61" t="s">
        <v>49</v>
      </c>
      <c r="P61" s="11" t="s">
        <v>228</v>
      </c>
      <c r="Q61" s="12" t="s">
        <v>158</v>
      </c>
      <c r="R61" s="12" t="s">
        <v>1010</v>
      </c>
      <c r="S61" s="12" t="b">
        <v>0</v>
      </c>
      <c r="T61" s="12" t="b">
        <v>1</v>
      </c>
      <c r="U61" s="12">
        <v>5</v>
      </c>
      <c r="V61" s="12" t="s">
        <v>159</v>
      </c>
      <c r="W61" s="12" t="s">
        <v>822</v>
      </c>
      <c r="X61" s="12" t="b">
        <v>0</v>
      </c>
      <c r="Y61" s="12" t="b">
        <v>0</v>
      </c>
      <c r="Z61" s="12"/>
      <c r="AA61" s="12">
        <v>0.81979999999999997</v>
      </c>
      <c r="AB61" s="12" t="s">
        <v>1313</v>
      </c>
      <c r="AC61" s="12" t="s">
        <v>1484</v>
      </c>
      <c r="AD61" s="13" t="b">
        <v>1</v>
      </c>
    </row>
    <row r="62" spans="1:30">
      <c r="A62" t="s">
        <v>230</v>
      </c>
      <c r="B62" t="s">
        <v>231</v>
      </c>
      <c r="C62" t="s">
        <v>232</v>
      </c>
      <c r="D62" t="s">
        <v>127</v>
      </c>
      <c r="E62" t="s">
        <v>127</v>
      </c>
      <c r="F62" t="s">
        <v>233</v>
      </c>
      <c r="H62" t="s">
        <v>234</v>
      </c>
      <c r="J62">
        <v>23253</v>
      </c>
      <c r="L62" t="s">
        <v>180</v>
      </c>
      <c r="M62" t="s">
        <v>24</v>
      </c>
      <c r="N62" t="s">
        <v>49</v>
      </c>
      <c r="P62" s="11" t="s">
        <v>233</v>
      </c>
      <c r="Q62" s="12" t="s">
        <v>231</v>
      </c>
      <c r="R62" s="12" t="s">
        <v>233</v>
      </c>
      <c r="S62" s="12" t="b">
        <v>0</v>
      </c>
      <c r="T62" s="12" t="b">
        <v>0</v>
      </c>
      <c r="U62" s="12"/>
      <c r="V62" s="12" t="s">
        <v>232</v>
      </c>
      <c r="W62" s="12" t="s">
        <v>516</v>
      </c>
      <c r="X62" s="12" t="b">
        <v>0</v>
      </c>
      <c r="Y62" s="12" t="b">
        <v>0</v>
      </c>
      <c r="Z62" s="12"/>
      <c r="AA62" s="12">
        <v>0.9</v>
      </c>
      <c r="AB62" s="12" t="s">
        <v>1314</v>
      </c>
      <c r="AC62" s="12" t="s">
        <v>1485</v>
      </c>
      <c r="AD62" s="13" t="b">
        <v>1</v>
      </c>
    </row>
    <row r="63" spans="1:30">
      <c r="A63" t="s">
        <v>235</v>
      </c>
      <c r="B63" t="s">
        <v>236</v>
      </c>
      <c r="C63" t="s">
        <v>237</v>
      </c>
      <c r="D63" t="s">
        <v>19</v>
      </c>
      <c r="E63" t="s">
        <v>20</v>
      </c>
      <c r="F63" t="s">
        <v>238</v>
      </c>
      <c r="H63" t="s">
        <v>239</v>
      </c>
      <c r="J63">
        <v>13567</v>
      </c>
      <c r="L63" t="s">
        <v>180</v>
      </c>
      <c r="M63" t="s">
        <v>24</v>
      </c>
      <c r="N63" t="s">
        <v>49</v>
      </c>
      <c r="P63" s="11" t="s">
        <v>238</v>
      </c>
      <c r="Q63" s="12" t="s">
        <v>236</v>
      </c>
      <c r="R63" s="12"/>
      <c r="S63" s="12" t="b">
        <v>0</v>
      </c>
      <c r="T63" s="12" t="b">
        <v>0</v>
      </c>
      <c r="U63" s="12"/>
      <c r="V63" s="12" t="s">
        <v>237</v>
      </c>
      <c r="W63" s="12"/>
      <c r="X63" s="12" t="b">
        <v>0</v>
      </c>
      <c r="Y63" s="12" t="b">
        <v>0</v>
      </c>
      <c r="Z63" s="12"/>
      <c r="AA63" s="12"/>
      <c r="AB63" s="12"/>
      <c r="AC63" s="12"/>
      <c r="AD63" s="13" t="b">
        <v>0</v>
      </c>
    </row>
    <row r="64" spans="1:30">
      <c r="A64" t="s">
        <v>240</v>
      </c>
      <c r="B64" t="s">
        <v>241</v>
      </c>
      <c r="C64" t="s">
        <v>242</v>
      </c>
      <c r="D64" t="s">
        <v>19</v>
      </c>
      <c r="E64" t="s">
        <v>20</v>
      </c>
      <c r="F64" t="s">
        <v>243</v>
      </c>
      <c r="H64" t="s">
        <v>244</v>
      </c>
      <c r="J64">
        <v>11807</v>
      </c>
      <c r="L64" t="s">
        <v>180</v>
      </c>
      <c r="M64" t="s">
        <v>24</v>
      </c>
      <c r="N64" t="s">
        <v>31</v>
      </c>
      <c r="P64" s="11" t="s">
        <v>243</v>
      </c>
      <c r="Q64" s="12" t="s">
        <v>241</v>
      </c>
      <c r="R64" s="12" t="s">
        <v>241</v>
      </c>
      <c r="S64" s="12" t="b">
        <v>1</v>
      </c>
      <c r="T64" s="12" t="b">
        <v>1</v>
      </c>
      <c r="U64" s="12">
        <v>1</v>
      </c>
      <c r="V64" s="12" t="s">
        <v>242</v>
      </c>
      <c r="W64" s="12" t="s">
        <v>1219</v>
      </c>
      <c r="X64" s="12" t="b">
        <v>0</v>
      </c>
      <c r="Y64" s="12" t="b">
        <v>1</v>
      </c>
      <c r="Z64" s="12">
        <v>2</v>
      </c>
      <c r="AA64" s="12">
        <v>0.99409999999999998</v>
      </c>
      <c r="AB64" s="12" t="s">
        <v>1013</v>
      </c>
      <c r="AC64" s="12" t="s">
        <v>1486</v>
      </c>
      <c r="AD64" s="13" t="b">
        <v>1</v>
      </c>
    </row>
    <row r="65" spans="1:30">
      <c r="A65" t="s">
        <v>245</v>
      </c>
      <c r="B65" t="s">
        <v>246</v>
      </c>
      <c r="C65" t="s">
        <v>247</v>
      </c>
      <c r="D65" t="s">
        <v>19</v>
      </c>
      <c r="E65" t="s">
        <v>20</v>
      </c>
      <c r="F65" t="s">
        <v>248</v>
      </c>
      <c r="H65" t="s">
        <v>249</v>
      </c>
      <c r="J65">
        <v>14568</v>
      </c>
      <c r="L65" t="s">
        <v>180</v>
      </c>
      <c r="M65" t="s">
        <v>24</v>
      </c>
      <c r="N65" t="s">
        <v>31</v>
      </c>
      <c r="P65" s="11" t="s">
        <v>248</v>
      </c>
      <c r="Q65" s="12" t="s">
        <v>246</v>
      </c>
      <c r="R65" s="12" t="s">
        <v>246</v>
      </c>
      <c r="S65" s="12" t="b">
        <v>1</v>
      </c>
      <c r="T65" s="12" t="b">
        <v>1</v>
      </c>
      <c r="U65" s="12">
        <v>1</v>
      </c>
      <c r="V65" s="12" t="s">
        <v>247</v>
      </c>
      <c r="W65" s="12" t="s">
        <v>524</v>
      </c>
      <c r="X65" s="12" t="b">
        <v>0</v>
      </c>
      <c r="Y65" s="12" t="b">
        <v>1</v>
      </c>
      <c r="Z65" s="12">
        <v>3</v>
      </c>
      <c r="AA65" s="12">
        <v>0.9</v>
      </c>
      <c r="AB65" s="12" t="s">
        <v>1014</v>
      </c>
      <c r="AC65" s="12" t="s">
        <v>1487</v>
      </c>
      <c r="AD65" s="13" t="b">
        <v>1</v>
      </c>
    </row>
    <row r="66" spans="1:30">
      <c r="A66" t="s">
        <v>184</v>
      </c>
      <c r="B66" t="s">
        <v>185</v>
      </c>
      <c r="C66" t="s">
        <v>186</v>
      </c>
      <c r="D66" t="s">
        <v>19</v>
      </c>
      <c r="E66" t="s">
        <v>20</v>
      </c>
      <c r="F66" t="s">
        <v>184</v>
      </c>
      <c r="H66" t="s">
        <v>250</v>
      </c>
      <c r="K66" t="s">
        <v>251</v>
      </c>
      <c r="L66" t="s">
        <v>252</v>
      </c>
      <c r="M66" t="s">
        <v>24</v>
      </c>
      <c r="N66" t="s">
        <v>25</v>
      </c>
      <c r="P66" s="11" t="s">
        <v>184</v>
      </c>
      <c r="Q66" s="12" t="s">
        <v>185</v>
      </c>
      <c r="R66" s="12" t="s">
        <v>185</v>
      </c>
      <c r="S66" s="12" t="b">
        <v>1</v>
      </c>
      <c r="T66" s="12" t="b">
        <v>1</v>
      </c>
      <c r="U66" s="12">
        <v>1</v>
      </c>
      <c r="V66" s="12" t="s">
        <v>186</v>
      </c>
      <c r="W66" s="12" t="s">
        <v>186</v>
      </c>
      <c r="X66" s="12" t="b">
        <v>1</v>
      </c>
      <c r="Y66" s="12" t="b">
        <v>1</v>
      </c>
      <c r="Z66" s="12">
        <v>1</v>
      </c>
      <c r="AA66" s="12">
        <v>1.1178999999999999</v>
      </c>
      <c r="AB66" s="12" t="s">
        <v>185</v>
      </c>
      <c r="AC66" s="12" t="s">
        <v>1197</v>
      </c>
      <c r="AD66" s="13" t="b">
        <v>1</v>
      </c>
    </row>
    <row r="67" spans="1:30">
      <c r="A67" t="s">
        <v>253</v>
      </c>
      <c r="B67" t="s">
        <v>214</v>
      </c>
      <c r="C67" t="s">
        <v>254</v>
      </c>
      <c r="D67" t="s">
        <v>127</v>
      </c>
      <c r="E67" t="s">
        <v>127</v>
      </c>
      <c r="F67" t="s">
        <v>253</v>
      </c>
      <c r="H67" t="s">
        <v>127</v>
      </c>
      <c r="K67">
        <v>1680</v>
      </c>
      <c r="L67" t="s">
        <v>252</v>
      </c>
      <c r="M67" t="s">
        <v>24</v>
      </c>
      <c r="N67" t="s">
        <v>31</v>
      </c>
      <c r="P67" s="11" t="s">
        <v>253</v>
      </c>
      <c r="Q67" s="12" t="s">
        <v>214</v>
      </c>
      <c r="R67" s="12" t="s">
        <v>214</v>
      </c>
      <c r="S67" s="12" t="b">
        <v>1</v>
      </c>
      <c r="T67" s="12" t="b">
        <v>1</v>
      </c>
      <c r="U67" s="12">
        <v>1</v>
      </c>
      <c r="V67" s="12" t="s">
        <v>254</v>
      </c>
      <c r="W67" s="12" t="s">
        <v>254</v>
      </c>
      <c r="X67" s="12" t="b">
        <v>1</v>
      </c>
      <c r="Y67" s="12" t="b">
        <v>1</v>
      </c>
      <c r="Z67" s="12">
        <v>1</v>
      </c>
      <c r="AA67" s="12">
        <v>1.2</v>
      </c>
      <c r="AB67" s="12" t="s">
        <v>1015</v>
      </c>
      <c r="AC67" s="12" t="s">
        <v>1488</v>
      </c>
      <c r="AD67" s="13" t="b">
        <v>1</v>
      </c>
    </row>
    <row r="68" spans="1:30">
      <c r="A68" t="s">
        <v>255</v>
      </c>
      <c r="B68" t="s">
        <v>256</v>
      </c>
      <c r="C68" t="s">
        <v>257</v>
      </c>
      <c r="D68" t="s">
        <v>79</v>
      </c>
      <c r="E68" t="s">
        <v>20</v>
      </c>
      <c r="F68" t="s">
        <v>258</v>
      </c>
      <c r="H68" t="s">
        <v>259</v>
      </c>
      <c r="K68" t="s">
        <v>260</v>
      </c>
      <c r="L68" t="s">
        <v>252</v>
      </c>
      <c r="M68" t="s">
        <v>24</v>
      </c>
      <c r="N68" t="s">
        <v>31</v>
      </c>
      <c r="P68" s="11" t="s">
        <v>1016</v>
      </c>
      <c r="Q68" s="12" t="s">
        <v>256</v>
      </c>
      <c r="R68" s="12" t="s">
        <v>256</v>
      </c>
      <c r="S68" s="12" t="b">
        <v>1</v>
      </c>
      <c r="T68" s="12" t="b">
        <v>1</v>
      </c>
      <c r="U68" s="12">
        <v>1</v>
      </c>
      <c r="V68" s="12" t="s">
        <v>257</v>
      </c>
      <c r="W68" s="12" t="s">
        <v>257</v>
      </c>
      <c r="X68" s="12" t="b">
        <v>1</v>
      </c>
      <c r="Y68" s="12" t="b">
        <v>1</v>
      </c>
      <c r="Z68" s="12">
        <v>1</v>
      </c>
      <c r="AA68" s="12">
        <v>1.2</v>
      </c>
      <c r="AB68" s="12" t="s">
        <v>256</v>
      </c>
      <c r="AC68" s="12" t="s">
        <v>531</v>
      </c>
      <c r="AD68" s="13" t="b">
        <v>1</v>
      </c>
    </row>
    <row r="69" spans="1:30">
      <c r="A69" t="s">
        <v>261</v>
      </c>
      <c r="B69" t="s">
        <v>262</v>
      </c>
      <c r="C69" t="s">
        <v>263</v>
      </c>
      <c r="D69" t="s">
        <v>19</v>
      </c>
      <c r="E69" t="s">
        <v>20</v>
      </c>
      <c r="F69" t="s">
        <v>261</v>
      </c>
      <c r="H69" t="s">
        <v>189</v>
      </c>
      <c r="K69" t="s">
        <v>264</v>
      </c>
      <c r="L69" t="s">
        <v>252</v>
      </c>
      <c r="M69" t="s">
        <v>24</v>
      </c>
      <c r="N69" t="s">
        <v>31</v>
      </c>
      <c r="P69" s="11" t="s">
        <v>261</v>
      </c>
      <c r="Q69" s="12" t="s">
        <v>262</v>
      </c>
      <c r="R69" s="12" t="s">
        <v>262</v>
      </c>
      <c r="S69" s="12" t="b">
        <v>1</v>
      </c>
      <c r="T69" s="12" t="b">
        <v>1</v>
      </c>
      <c r="U69" s="12">
        <v>1</v>
      </c>
      <c r="V69" s="12" t="s">
        <v>263</v>
      </c>
      <c r="W69" s="12" t="s">
        <v>263</v>
      </c>
      <c r="X69" s="12" t="b">
        <v>1</v>
      </c>
      <c r="Y69" s="12" t="b">
        <v>1</v>
      </c>
      <c r="Z69" s="12">
        <v>1</v>
      </c>
      <c r="AA69" s="12">
        <v>1.2</v>
      </c>
      <c r="AB69" s="12" t="s">
        <v>1315</v>
      </c>
      <c r="AC69" s="12" t="s">
        <v>1489</v>
      </c>
      <c r="AD69" s="13" t="b">
        <v>1</v>
      </c>
    </row>
    <row r="70" spans="1:30">
      <c r="A70" t="s">
        <v>265</v>
      </c>
      <c r="B70" t="s">
        <v>266</v>
      </c>
      <c r="C70" t="s">
        <v>267</v>
      </c>
      <c r="D70" t="s">
        <v>19</v>
      </c>
      <c r="E70" t="s">
        <v>20</v>
      </c>
      <c r="F70" t="s">
        <v>268</v>
      </c>
      <c r="H70" t="s">
        <v>269</v>
      </c>
      <c r="K70">
        <v>2207</v>
      </c>
      <c r="L70" t="s">
        <v>252</v>
      </c>
      <c r="M70" t="s">
        <v>24</v>
      </c>
      <c r="N70" t="s">
        <v>49</v>
      </c>
      <c r="P70" s="11" t="s">
        <v>268</v>
      </c>
      <c r="Q70" s="12" t="s">
        <v>266</v>
      </c>
      <c r="R70" s="12" t="s">
        <v>266</v>
      </c>
      <c r="S70" s="12" t="b">
        <v>1</v>
      </c>
      <c r="T70" s="12" t="b">
        <v>1</v>
      </c>
      <c r="U70" s="12">
        <v>1</v>
      </c>
      <c r="V70" s="12" t="s">
        <v>267</v>
      </c>
      <c r="W70" s="12" t="s">
        <v>267</v>
      </c>
      <c r="X70" s="12" t="b">
        <v>1</v>
      </c>
      <c r="Y70" s="12" t="b">
        <v>1</v>
      </c>
      <c r="Z70" s="12">
        <v>1</v>
      </c>
      <c r="AA70" s="12">
        <v>1.0848</v>
      </c>
      <c r="AB70" s="12" t="s">
        <v>266</v>
      </c>
      <c r="AC70" s="12" t="s">
        <v>1490</v>
      </c>
      <c r="AD70" s="13" t="b">
        <v>1</v>
      </c>
    </row>
    <row r="71" spans="1:30">
      <c r="A71" t="s">
        <v>270</v>
      </c>
      <c r="B71" t="s">
        <v>271</v>
      </c>
      <c r="C71" s="3" t="s">
        <v>272</v>
      </c>
      <c r="D71" t="s">
        <v>79</v>
      </c>
      <c r="E71" t="s">
        <v>20</v>
      </c>
      <c r="F71" t="s">
        <v>273</v>
      </c>
      <c r="H71" t="s">
        <v>259</v>
      </c>
      <c r="K71">
        <v>1915</v>
      </c>
      <c r="L71" t="s">
        <v>252</v>
      </c>
      <c r="M71" t="s">
        <v>24</v>
      </c>
      <c r="N71" t="s">
        <v>25</v>
      </c>
      <c r="P71" s="11" t="s">
        <v>273</v>
      </c>
      <c r="Q71" s="12" t="s">
        <v>271</v>
      </c>
      <c r="R71" s="12" t="s">
        <v>271</v>
      </c>
      <c r="S71" s="12" t="b">
        <v>1</v>
      </c>
      <c r="T71" s="12" t="b">
        <v>1</v>
      </c>
      <c r="U71" s="12">
        <v>1</v>
      </c>
      <c r="V71" s="12" t="s">
        <v>272</v>
      </c>
      <c r="W71" s="12" t="s">
        <v>272</v>
      </c>
      <c r="X71" s="12" t="b">
        <v>1</v>
      </c>
      <c r="Y71" s="12" t="b">
        <v>1</v>
      </c>
      <c r="Z71" s="12">
        <v>1</v>
      </c>
      <c r="AA71" s="12">
        <v>0.85899999999999999</v>
      </c>
      <c r="AB71" s="12" t="s">
        <v>271</v>
      </c>
      <c r="AC71" s="12" t="s">
        <v>1233</v>
      </c>
      <c r="AD71" s="13" t="b">
        <v>1</v>
      </c>
    </row>
    <row r="72" spans="1:30">
      <c r="A72" t="s">
        <v>274</v>
      </c>
      <c r="B72" t="s">
        <v>275</v>
      </c>
      <c r="C72" t="s">
        <v>276</v>
      </c>
      <c r="D72" t="s">
        <v>44</v>
      </c>
      <c r="E72" t="s">
        <v>20</v>
      </c>
      <c r="F72" t="s">
        <v>277</v>
      </c>
      <c r="H72" t="s">
        <v>278</v>
      </c>
      <c r="K72">
        <v>1926</v>
      </c>
      <c r="L72" t="s">
        <v>252</v>
      </c>
      <c r="M72" t="s">
        <v>24</v>
      </c>
      <c r="N72" t="s">
        <v>31</v>
      </c>
      <c r="P72" s="11" t="s">
        <v>277</v>
      </c>
      <c r="Q72" s="12" t="s">
        <v>275</v>
      </c>
      <c r="R72" s="12" t="s">
        <v>275</v>
      </c>
      <c r="S72" s="12" t="b">
        <v>1</v>
      </c>
      <c r="T72" s="12" t="b">
        <v>1</v>
      </c>
      <c r="U72" s="12">
        <v>1</v>
      </c>
      <c r="V72" s="12" t="s">
        <v>276</v>
      </c>
      <c r="W72" s="12" t="s">
        <v>276</v>
      </c>
      <c r="X72" s="12" t="b">
        <v>1</v>
      </c>
      <c r="Y72" s="12" t="b">
        <v>1</v>
      </c>
      <c r="Z72" s="12">
        <v>1</v>
      </c>
      <c r="AA72" s="12">
        <v>1</v>
      </c>
      <c r="AB72" s="12" t="s">
        <v>275</v>
      </c>
      <c r="AC72" s="12" t="s">
        <v>1234</v>
      </c>
      <c r="AD72" s="13" t="b">
        <v>1</v>
      </c>
    </row>
    <row r="73" spans="1:30">
      <c r="A73" t="s">
        <v>279</v>
      </c>
      <c r="B73" t="s">
        <v>280</v>
      </c>
      <c r="C73" t="s">
        <v>281</v>
      </c>
      <c r="D73" t="s">
        <v>79</v>
      </c>
      <c r="E73" t="s">
        <v>20</v>
      </c>
      <c r="F73" t="s">
        <v>282</v>
      </c>
      <c r="H73" t="s">
        <v>82</v>
      </c>
      <c r="K73" t="s">
        <v>283</v>
      </c>
      <c r="L73" t="s">
        <v>252</v>
      </c>
      <c r="M73" t="s">
        <v>24</v>
      </c>
      <c r="N73" t="s">
        <v>25</v>
      </c>
      <c r="P73" s="11" t="s">
        <v>282</v>
      </c>
      <c r="Q73" s="12" t="s">
        <v>280</v>
      </c>
      <c r="R73" s="12" t="s">
        <v>280</v>
      </c>
      <c r="S73" s="12" t="b">
        <v>1</v>
      </c>
      <c r="T73" s="12" t="b">
        <v>1</v>
      </c>
      <c r="U73" s="12">
        <v>1</v>
      </c>
      <c r="V73" s="12" t="s">
        <v>281</v>
      </c>
      <c r="W73" s="12" t="s">
        <v>1491</v>
      </c>
      <c r="X73" s="12" t="b">
        <v>0</v>
      </c>
      <c r="Y73" s="12" t="b">
        <v>0</v>
      </c>
      <c r="Z73" s="12">
        <v>7</v>
      </c>
      <c r="AA73" s="12">
        <v>0.91859999999999997</v>
      </c>
      <c r="AB73" s="12" t="s">
        <v>1316</v>
      </c>
      <c r="AC73" s="12" t="s">
        <v>1492</v>
      </c>
      <c r="AD73" s="13" t="b">
        <v>1</v>
      </c>
    </row>
    <row r="74" spans="1:30">
      <c r="A74" t="s">
        <v>284</v>
      </c>
      <c r="B74" t="s">
        <v>285</v>
      </c>
      <c r="C74" t="s">
        <v>286</v>
      </c>
      <c r="D74" t="s">
        <v>127</v>
      </c>
      <c r="E74" t="s">
        <v>127</v>
      </c>
      <c r="F74" t="s">
        <v>284</v>
      </c>
      <c r="H74" t="s">
        <v>127</v>
      </c>
      <c r="K74">
        <v>1766</v>
      </c>
      <c r="L74" t="s">
        <v>252</v>
      </c>
      <c r="M74" t="s">
        <v>24</v>
      </c>
      <c r="N74" t="s">
        <v>25</v>
      </c>
      <c r="P74" s="11" t="s">
        <v>284</v>
      </c>
      <c r="Q74" s="12" t="s">
        <v>285</v>
      </c>
      <c r="R74" s="12" t="s">
        <v>1034</v>
      </c>
      <c r="S74" s="12" t="b">
        <v>0</v>
      </c>
      <c r="T74" s="12" t="b">
        <v>1</v>
      </c>
      <c r="U74" s="12">
        <v>4</v>
      </c>
      <c r="V74" s="12" t="s">
        <v>286</v>
      </c>
      <c r="W74" s="12" t="s">
        <v>756</v>
      </c>
      <c r="X74" s="12" t="b">
        <v>0</v>
      </c>
      <c r="Y74" s="12" t="b">
        <v>1</v>
      </c>
      <c r="Z74" s="12">
        <v>3</v>
      </c>
      <c r="AA74" s="12">
        <v>0.91569999999999996</v>
      </c>
      <c r="AB74" s="12" t="s">
        <v>1317</v>
      </c>
      <c r="AC74" s="12" t="s">
        <v>1493</v>
      </c>
      <c r="AD74" s="13" t="b">
        <v>1</v>
      </c>
    </row>
    <row r="75" spans="1:30">
      <c r="A75" t="s">
        <v>287</v>
      </c>
      <c r="B75" t="s">
        <v>288</v>
      </c>
      <c r="C75" t="s">
        <v>289</v>
      </c>
      <c r="D75" t="s">
        <v>127</v>
      </c>
      <c r="E75" t="s">
        <v>127</v>
      </c>
      <c r="F75" t="s">
        <v>290</v>
      </c>
      <c r="H75" t="s">
        <v>127</v>
      </c>
      <c r="K75">
        <v>1687</v>
      </c>
      <c r="L75" t="s">
        <v>252</v>
      </c>
      <c r="M75" t="s">
        <v>24</v>
      </c>
      <c r="N75" t="s">
        <v>25</v>
      </c>
      <c r="P75" s="11" t="s">
        <v>290</v>
      </c>
      <c r="Q75" s="12" t="s">
        <v>288</v>
      </c>
      <c r="R75" s="12" t="s">
        <v>288</v>
      </c>
      <c r="S75" s="12" t="b">
        <v>1</v>
      </c>
      <c r="T75" s="12" t="b">
        <v>1</v>
      </c>
      <c r="U75" s="12">
        <v>1</v>
      </c>
      <c r="V75" s="12" t="s">
        <v>289</v>
      </c>
      <c r="W75" s="12" t="s">
        <v>1494</v>
      </c>
      <c r="X75" s="12" t="b">
        <v>0</v>
      </c>
      <c r="Y75" s="12" t="b">
        <v>0</v>
      </c>
      <c r="Z75" s="12">
        <v>12</v>
      </c>
      <c r="AA75" s="12">
        <v>0.8175</v>
      </c>
      <c r="AB75" s="12" t="s">
        <v>1319</v>
      </c>
      <c r="AC75" s="12" t="s">
        <v>1495</v>
      </c>
      <c r="AD75" s="13" t="b">
        <v>1</v>
      </c>
    </row>
    <row r="76" spans="1:30">
      <c r="A76" t="s">
        <v>291</v>
      </c>
      <c r="B76" t="s">
        <v>292</v>
      </c>
      <c r="C76" t="s">
        <v>293</v>
      </c>
      <c r="D76" t="s">
        <v>19</v>
      </c>
      <c r="E76" t="s">
        <v>20</v>
      </c>
      <c r="F76" t="s">
        <v>291</v>
      </c>
      <c r="H76" t="s">
        <v>294</v>
      </c>
      <c r="K76" t="s">
        <v>295</v>
      </c>
      <c r="L76" t="s">
        <v>252</v>
      </c>
      <c r="M76" t="s">
        <v>24</v>
      </c>
      <c r="N76" t="s">
        <v>25</v>
      </c>
      <c r="P76" s="11" t="s">
        <v>291</v>
      </c>
      <c r="Q76" s="12" t="s">
        <v>292</v>
      </c>
      <c r="R76" s="12" t="s">
        <v>292</v>
      </c>
      <c r="S76" s="12" t="b">
        <v>1</v>
      </c>
      <c r="T76" s="12" t="b">
        <v>1</v>
      </c>
      <c r="U76" s="12">
        <v>1</v>
      </c>
      <c r="V76" s="12" t="s">
        <v>293</v>
      </c>
      <c r="W76" s="12" t="s">
        <v>1496</v>
      </c>
      <c r="X76" s="12" t="b">
        <v>0</v>
      </c>
      <c r="Y76" s="12" t="b">
        <v>0</v>
      </c>
      <c r="Z76" s="12">
        <v>9</v>
      </c>
      <c r="AA76" s="12">
        <v>0.90880000000000005</v>
      </c>
      <c r="AB76" s="12" t="s">
        <v>1320</v>
      </c>
      <c r="AC76" s="12" t="s">
        <v>1497</v>
      </c>
      <c r="AD76" s="13" t="b">
        <v>1</v>
      </c>
    </row>
    <row r="77" spans="1:30">
      <c r="A77" t="s">
        <v>296</v>
      </c>
      <c r="B77" t="s">
        <v>297</v>
      </c>
      <c r="C77" t="s">
        <v>298</v>
      </c>
      <c r="D77" t="s">
        <v>19</v>
      </c>
      <c r="E77" t="s">
        <v>20</v>
      </c>
      <c r="F77" t="s">
        <v>299</v>
      </c>
      <c r="H77" t="s">
        <v>300</v>
      </c>
      <c r="K77" t="s">
        <v>301</v>
      </c>
      <c r="L77" t="s">
        <v>252</v>
      </c>
      <c r="M77" t="s">
        <v>24</v>
      </c>
      <c r="N77" t="s">
        <v>25</v>
      </c>
      <c r="P77" s="11" t="s">
        <v>299</v>
      </c>
      <c r="Q77" s="12" t="s">
        <v>297</v>
      </c>
      <c r="R77" s="12" t="s">
        <v>297</v>
      </c>
      <c r="S77" s="12" t="b">
        <v>1</v>
      </c>
      <c r="T77" s="12" t="b">
        <v>1</v>
      </c>
      <c r="U77" s="12">
        <v>1</v>
      </c>
      <c r="V77" s="12" t="s">
        <v>298</v>
      </c>
      <c r="W77" s="12" t="s">
        <v>1498</v>
      </c>
      <c r="X77" s="12" t="b">
        <v>0</v>
      </c>
      <c r="Y77" s="12" t="b">
        <v>1</v>
      </c>
      <c r="Z77" s="12">
        <v>2</v>
      </c>
      <c r="AA77" s="12">
        <v>0.87060000000000004</v>
      </c>
      <c r="AB77" s="12" t="s">
        <v>1022</v>
      </c>
      <c r="AC77" s="12" t="s">
        <v>1499</v>
      </c>
      <c r="AD77" s="13" t="b">
        <v>1</v>
      </c>
    </row>
    <row r="78" spans="1:30">
      <c r="A78" t="s">
        <v>302</v>
      </c>
      <c r="B78" t="s">
        <v>100</v>
      </c>
      <c r="C78" t="s">
        <v>303</v>
      </c>
      <c r="D78" t="s">
        <v>79</v>
      </c>
      <c r="E78" t="s">
        <v>79</v>
      </c>
      <c r="F78" t="s">
        <v>304</v>
      </c>
      <c r="H78" t="s">
        <v>82</v>
      </c>
      <c r="K78" t="s">
        <v>305</v>
      </c>
      <c r="L78" t="s">
        <v>252</v>
      </c>
      <c r="M78" t="s">
        <v>24</v>
      </c>
      <c r="N78" t="s">
        <v>31</v>
      </c>
      <c r="P78" s="11" t="s">
        <v>304</v>
      </c>
      <c r="Q78" s="12" t="s">
        <v>100</v>
      </c>
      <c r="R78" s="12" t="s">
        <v>100</v>
      </c>
      <c r="S78" s="12" t="b">
        <v>1</v>
      </c>
      <c r="T78" s="12" t="b">
        <v>1</v>
      </c>
      <c r="U78" s="12">
        <v>1</v>
      </c>
      <c r="V78" s="12" t="s">
        <v>303</v>
      </c>
      <c r="W78" s="12" t="s">
        <v>303</v>
      </c>
      <c r="X78" s="12" t="b">
        <v>1</v>
      </c>
      <c r="Y78" s="12" t="b">
        <v>1</v>
      </c>
      <c r="Z78" s="12">
        <v>1</v>
      </c>
      <c r="AA78" s="12">
        <v>1</v>
      </c>
      <c r="AB78" s="12" t="s">
        <v>1321</v>
      </c>
      <c r="AC78" s="12" t="s">
        <v>1500</v>
      </c>
      <c r="AD78" s="13" t="b">
        <v>1</v>
      </c>
    </row>
    <row r="79" spans="1:30">
      <c r="A79" t="s">
        <v>306</v>
      </c>
      <c r="B79" t="s">
        <v>307</v>
      </c>
      <c r="C79" t="s">
        <v>308</v>
      </c>
      <c r="D79" t="s">
        <v>19</v>
      </c>
      <c r="E79" t="s">
        <v>20</v>
      </c>
      <c r="F79" t="s">
        <v>309</v>
      </c>
      <c r="H79" t="s">
        <v>310</v>
      </c>
      <c r="K79" t="s">
        <v>311</v>
      </c>
      <c r="L79" t="s">
        <v>252</v>
      </c>
      <c r="M79" t="s">
        <v>24</v>
      </c>
      <c r="N79" t="s">
        <v>25</v>
      </c>
      <c r="P79" s="11" t="s">
        <v>309</v>
      </c>
      <c r="Q79" s="12" t="s">
        <v>307</v>
      </c>
      <c r="R79" s="12" t="s">
        <v>307</v>
      </c>
      <c r="S79" s="12" t="b">
        <v>1</v>
      </c>
      <c r="T79" s="12" t="b">
        <v>1</v>
      </c>
      <c r="U79" s="12">
        <v>1</v>
      </c>
      <c r="V79" s="12" t="s">
        <v>308</v>
      </c>
      <c r="W79" s="12" t="s">
        <v>308</v>
      </c>
      <c r="X79" s="12" t="b">
        <v>1</v>
      </c>
      <c r="Y79" s="12" t="b">
        <v>1</v>
      </c>
      <c r="Z79" s="12">
        <v>1</v>
      </c>
      <c r="AA79" s="12">
        <v>0.91790000000000005</v>
      </c>
      <c r="AB79" s="12" t="s">
        <v>307</v>
      </c>
      <c r="AC79" s="12" t="s">
        <v>1246</v>
      </c>
      <c r="AD79" s="13" t="b">
        <v>1</v>
      </c>
    </row>
    <row r="80" spans="1:30">
      <c r="A80" t="s">
        <v>184</v>
      </c>
      <c r="B80" t="s">
        <v>185</v>
      </c>
      <c r="C80" t="s">
        <v>186</v>
      </c>
      <c r="D80" t="s">
        <v>19</v>
      </c>
      <c r="E80" t="s">
        <v>20</v>
      </c>
      <c r="F80" t="s">
        <v>185</v>
      </c>
      <c r="L80" t="s">
        <v>312</v>
      </c>
      <c r="M80" t="s">
        <v>24</v>
      </c>
      <c r="N80" t="s">
        <v>25</v>
      </c>
      <c r="P80" s="11" t="s">
        <v>185</v>
      </c>
      <c r="Q80" s="12" t="s">
        <v>185</v>
      </c>
      <c r="R80" s="12" t="s">
        <v>185</v>
      </c>
      <c r="S80" s="12" t="b">
        <v>1</v>
      </c>
      <c r="T80" s="12" t="b">
        <v>1</v>
      </c>
      <c r="U80" s="12">
        <v>1</v>
      </c>
      <c r="V80" s="12" t="s">
        <v>186</v>
      </c>
      <c r="W80" s="12" t="s">
        <v>558</v>
      </c>
      <c r="X80" s="12" t="b">
        <v>0</v>
      </c>
      <c r="Y80" s="12" t="b">
        <v>1</v>
      </c>
      <c r="Z80" s="12">
        <v>3</v>
      </c>
      <c r="AA80" s="12">
        <v>0.98780000000000001</v>
      </c>
      <c r="AB80" s="12" t="s">
        <v>1023</v>
      </c>
      <c r="AC80" s="12" t="s">
        <v>1501</v>
      </c>
      <c r="AD80" s="13" t="b">
        <v>1</v>
      </c>
    </row>
    <row r="81" spans="1:30">
      <c r="A81" t="s">
        <v>313</v>
      </c>
      <c r="B81" t="s">
        <v>221</v>
      </c>
      <c r="C81" t="s">
        <v>314</v>
      </c>
      <c r="D81" t="s">
        <v>127</v>
      </c>
      <c r="E81" t="s">
        <v>127</v>
      </c>
      <c r="F81" t="s">
        <v>221</v>
      </c>
      <c r="L81" t="s">
        <v>312</v>
      </c>
      <c r="M81" t="s">
        <v>24</v>
      </c>
      <c r="N81" t="s">
        <v>25</v>
      </c>
      <c r="P81" s="11" t="s">
        <v>221</v>
      </c>
      <c r="Q81" s="12" t="s">
        <v>221</v>
      </c>
      <c r="R81" s="12" t="s">
        <v>221</v>
      </c>
      <c r="S81" s="12" t="b">
        <v>1</v>
      </c>
      <c r="T81" s="12" t="b">
        <v>1</v>
      </c>
      <c r="U81" s="12">
        <v>1</v>
      </c>
      <c r="V81" s="12" t="s">
        <v>314</v>
      </c>
      <c r="W81" s="12" t="s">
        <v>560</v>
      </c>
      <c r="X81" s="12" t="b">
        <v>0</v>
      </c>
      <c r="Y81" s="12" t="b">
        <v>1</v>
      </c>
      <c r="Z81" s="12">
        <v>3</v>
      </c>
      <c r="AA81" s="12">
        <v>1</v>
      </c>
      <c r="AB81" s="12" t="s">
        <v>221</v>
      </c>
      <c r="AC81" s="12" t="s">
        <v>561</v>
      </c>
      <c r="AD81" s="13" t="b">
        <v>1</v>
      </c>
    </row>
    <row r="82" spans="1:30">
      <c r="A82" t="s">
        <v>315</v>
      </c>
      <c r="B82" t="s">
        <v>316</v>
      </c>
      <c r="C82" t="s">
        <v>317</v>
      </c>
      <c r="D82" t="s">
        <v>44</v>
      </c>
      <c r="E82" t="s">
        <v>20</v>
      </c>
      <c r="F82" t="s">
        <v>316</v>
      </c>
      <c r="L82" t="s">
        <v>312</v>
      </c>
      <c r="M82" t="s">
        <v>24</v>
      </c>
      <c r="N82" t="s">
        <v>25</v>
      </c>
      <c r="P82" s="11" t="s">
        <v>316</v>
      </c>
      <c r="Q82" s="12" t="s">
        <v>316</v>
      </c>
      <c r="R82" s="12" t="s">
        <v>316</v>
      </c>
      <c r="S82" s="12" t="b">
        <v>1</v>
      </c>
      <c r="T82" s="12" t="b">
        <v>1</v>
      </c>
      <c r="U82" s="12">
        <v>1</v>
      </c>
      <c r="V82" s="12" t="s">
        <v>317</v>
      </c>
      <c r="W82" s="12" t="s">
        <v>1502</v>
      </c>
      <c r="X82" s="12" t="b">
        <v>0</v>
      </c>
      <c r="Y82" s="12" t="b">
        <v>0</v>
      </c>
      <c r="Z82" s="12">
        <v>6</v>
      </c>
      <c r="AA82" s="12">
        <v>1</v>
      </c>
      <c r="AB82" s="12" t="s">
        <v>1322</v>
      </c>
      <c r="AC82" s="12" t="s">
        <v>1503</v>
      </c>
      <c r="AD82" s="13" t="b">
        <v>1</v>
      </c>
    </row>
    <row r="83" spans="1:30">
      <c r="A83" t="s">
        <v>318</v>
      </c>
      <c r="B83" t="s">
        <v>316</v>
      </c>
      <c r="C83" t="s">
        <v>319</v>
      </c>
      <c r="D83" t="s">
        <v>127</v>
      </c>
      <c r="E83" t="s">
        <v>127</v>
      </c>
      <c r="F83" t="s">
        <v>316</v>
      </c>
      <c r="L83" t="s">
        <v>312</v>
      </c>
      <c r="M83" t="s">
        <v>24</v>
      </c>
      <c r="N83" t="s">
        <v>25</v>
      </c>
      <c r="P83" s="11" t="s">
        <v>316</v>
      </c>
      <c r="Q83" s="12" t="s">
        <v>316</v>
      </c>
      <c r="R83" s="12" t="s">
        <v>316</v>
      </c>
      <c r="S83" s="12" t="b">
        <v>1</v>
      </c>
      <c r="T83" s="12" t="b">
        <v>1</v>
      </c>
      <c r="U83" s="12">
        <v>1</v>
      </c>
      <c r="V83" s="12" t="s">
        <v>319</v>
      </c>
      <c r="W83" s="12" t="s">
        <v>1502</v>
      </c>
      <c r="X83" s="12" t="b">
        <v>0</v>
      </c>
      <c r="Y83" s="12" t="b">
        <v>1</v>
      </c>
      <c r="Z83" s="12">
        <v>3</v>
      </c>
      <c r="AA83" s="12">
        <v>1</v>
      </c>
      <c r="AB83" s="12" t="s">
        <v>1322</v>
      </c>
      <c r="AC83" s="12" t="s">
        <v>1503</v>
      </c>
      <c r="AD83" s="13" t="b">
        <v>1</v>
      </c>
    </row>
    <row r="84" spans="1:30">
      <c r="A84" t="s">
        <v>320</v>
      </c>
      <c r="B84" t="s">
        <v>321</v>
      </c>
      <c r="C84" t="s">
        <v>322</v>
      </c>
      <c r="D84" t="s">
        <v>127</v>
      </c>
      <c r="E84" t="s">
        <v>127</v>
      </c>
      <c r="F84" t="s">
        <v>321</v>
      </c>
      <c r="L84" t="s">
        <v>312</v>
      </c>
      <c r="M84" t="s">
        <v>24</v>
      </c>
      <c r="N84" t="s">
        <v>25</v>
      </c>
      <c r="P84" s="11" t="s">
        <v>321</v>
      </c>
      <c r="Q84" s="12" t="s">
        <v>321</v>
      </c>
      <c r="R84" s="12" t="s">
        <v>321</v>
      </c>
      <c r="S84" s="12" t="b">
        <v>1</v>
      </c>
      <c r="T84" s="12" t="b">
        <v>1</v>
      </c>
      <c r="U84" s="12">
        <v>1</v>
      </c>
      <c r="V84" s="12" t="s">
        <v>322</v>
      </c>
      <c r="W84" s="12" t="s">
        <v>322</v>
      </c>
      <c r="X84" s="12" t="b">
        <v>1</v>
      </c>
      <c r="Y84" s="12" t="b">
        <v>1</v>
      </c>
      <c r="Z84" s="12">
        <v>1</v>
      </c>
      <c r="AA84" s="12">
        <v>1</v>
      </c>
      <c r="AB84" s="12" t="s">
        <v>1323</v>
      </c>
      <c r="AC84" s="12" t="s">
        <v>1504</v>
      </c>
      <c r="AD84" s="13" t="b">
        <v>1</v>
      </c>
    </row>
    <row r="85" spans="1:30">
      <c r="A85" t="s">
        <v>324</v>
      </c>
      <c r="B85" t="s">
        <v>148</v>
      </c>
      <c r="C85" t="s">
        <v>325</v>
      </c>
      <c r="D85" t="s">
        <v>79</v>
      </c>
      <c r="E85" t="s">
        <v>20</v>
      </c>
      <c r="F85" t="s">
        <v>148</v>
      </c>
      <c r="L85" t="s">
        <v>312</v>
      </c>
      <c r="M85" t="s">
        <v>24</v>
      </c>
      <c r="N85" t="s">
        <v>25</v>
      </c>
      <c r="P85" s="11" t="s">
        <v>148</v>
      </c>
      <c r="Q85" s="12" t="s">
        <v>148</v>
      </c>
      <c r="R85" s="12" t="s">
        <v>148</v>
      </c>
      <c r="S85" s="12" t="b">
        <v>1</v>
      </c>
      <c r="T85" s="12" t="b">
        <v>1</v>
      </c>
      <c r="U85" s="12">
        <v>1</v>
      </c>
      <c r="V85" s="12" t="s">
        <v>325</v>
      </c>
      <c r="W85" s="12" t="s">
        <v>325</v>
      </c>
      <c r="X85" s="12" t="b">
        <v>1</v>
      </c>
      <c r="Y85" s="12" t="b">
        <v>1</v>
      </c>
      <c r="Z85" s="12">
        <v>1</v>
      </c>
      <c r="AA85" s="12">
        <v>0.89759999999999995</v>
      </c>
      <c r="AB85" s="12" t="s">
        <v>1026</v>
      </c>
      <c r="AC85" s="12" t="s">
        <v>1505</v>
      </c>
      <c r="AD85" s="13" t="b">
        <v>1</v>
      </c>
    </row>
    <row r="86" spans="1:30">
      <c r="A86" t="s">
        <v>326</v>
      </c>
      <c r="B86" t="s">
        <v>100</v>
      </c>
      <c r="C86" t="s">
        <v>101</v>
      </c>
      <c r="D86" t="s">
        <v>44</v>
      </c>
      <c r="E86" t="s">
        <v>20</v>
      </c>
      <c r="F86" t="s">
        <v>100</v>
      </c>
      <c r="L86" t="s">
        <v>312</v>
      </c>
      <c r="M86" t="s">
        <v>24</v>
      </c>
      <c r="N86" t="s">
        <v>25</v>
      </c>
      <c r="P86" s="11" t="s">
        <v>100</v>
      </c>
      <c r="Q86" s="12" t="s">
        <v>100</v>
      </c>
      <c r="R86" s="12" t="s">
        <v>100</v>
      </c>
      <c r="S86" s="12" t="b">
        <v>1</v>
      </c>
      <c r="T86" s="12" t="b">
        <v>1</v>
      </c>
      <c r="U86" s="12">
        <v>1</v>
      </c>
      <c r="V86" s="12" t="s">
        <v>101</v>
      </c>
      <c r="W86" s="12" t="s">
        <v>303</v>
      </c>
      <c r="X86" s="12" t="b">
        <v>0</v>
      </c>
      <c r="Y86" s="12" t="b">
        <v>1</v>
      </c>
      <c r="Z86" s="12">
        <v>5</v>
      </c>
      <c r="AA86" s="12">
        <v>1</v>
      </c>
      <c r="AB86" s="12" t="s">
        <v>1324</v>
      </c>
      <c r="AC86" s="12" t="s">
        <v>1506</v>
      </c>
      <c r="AD86" s="13" t="b">
        <v>1</v>
      </c>
    </row>
    <row r="87" spans="1:30">
      <c r="A87" t="s">
        <v>199</v>
      </c>
      <c r="B87" t="s">
        <v>200</v>
      </c>
      <c r="C87" t="s">
        <v>201</v>
      </c>
      <c r="D87" t="s">
        <v>19</v>
      </c>
      <c r="E87" t="s">
        <v>20</v>
      </c>
      <c r="F87" t="s">
        <v>200</v>
      </c>
      <c r="L87" t="s">
        <v>312</v>
      </c>
      <c r="M87" t="s">
        <v>24</v>
      </c>
      <c r="N87" t="s">
        <v>25</v>
      </c>
      <c r="P87" s="11" t="s">
        <v>200</v>
      </c>
      <c r="Q87" s="12" t="s">
        <v>200</v>
      </c>
      <c r="R87" s="12" t="s">
        <v>200</v>
      </c>
      <c r="S87" s="12" t="b">
        <v>1</v>
      </c>
      <c r="T87" s="12" t="b">
        <v>1</v>
      </c>
      <c r="U87" s="12">
        <v>1</v>
      </c>
      <c r="V87" s="12" t="s">
        <v>201</v>
      </c>
      <c r="W87" s="12" t="s">
        <v>567</v>
      </c>
      <c r="X87" s="12" t="b">
        <v>0</v>
      </c>
      <c r="Y87" s="12" t="b">
        <v>1</v>
      </c>
      <c r="Z87" s="12">
        <v>4</v>
      </c>
      <c r="AA87" s="12">
        <v>0.95199999999999996</v>
      </c>
      <c r="AB87" s="12" t="s">
        <v>200</v>
      </c>
      <c r="AC87" s="12" t="s">
        <v>1507</v>
      </c>
      <c r="AD87" s="13" t="b">
        <v>1</v>
      </c>
    </row>
    <row r="88" spans="1:30">
      <c r="A88" t="s">
        <v>327</v>
      </c>
      <c r="B88" t="s">
        <v>328</v>
      </c>
      <c r="C88" t="s">
        <v>329</v>
      </c>
      <c r="D88" t="s">
        <v>127</v>
      </c>
      <c r="E88" t="s">
        <v>127</v>
      </c>
      <c r="F88" t="s">
        <v>328</v>
      </c>
      <c r="L88" t="s">
        <v>312</v>
      </c>
      <c r="M88" t="s">
        <v>24</v>
      </c>
      <c r="N88" t="s">
        <v>25</v>
      </c>
      <c r="P88" s="11" t="s">
        <v>328</v>
      </c>
      <c r="Q88" s="12" t="s">
        <v>328</v>
      </c>
      <c r="R88" s="12" t="s">
        <v>328</v>
      </c>
      <c r="S88" s="12" t="b">
        <v>1</v>
      </c>
      <c r="T88" s="12" t="b">
        <v>1</v>
      </c>
      <c r="U88" s="12">
        <v>1</v>
      </c>
      <c r="V88" s="12" t="s">
        <v>329</v>
      </c>
      <c r="W88" s="12" t="s">
        <v>329</v>
      </c>
      <c r="X88" s="12" t="b">
        <v>1</v>
      </c>
      <c r="Y88" s="12" t="b">
        <v>1</v>
      </c>
      <c r="Z88" s="12">
        <v>1</v>
      </c>
      <c r="AA88" s="12">
        <v>1</v>
      </c>
      <c r="AB88" s="12" t="s">
        <v>328</v>
      </c>
      <c r="AC88" s="12" t="s">
        <v>1508</v>
      </c>
      <c r="AD88" s="13" t="b">
        <v>1</v>
      </c>
    </row>
    <row r="89" spans="1:30">
      <c r="A89" t="s">
        <v>330</v>
      </c>
      <c r="B89" t="s">
        <v>331</v>
      </c>
      <c r="C89" t="s">
        <v>332</v>
      </c>
      <c r="D89" t="s">
        <v>79</v>
      </c>
      <c r="E89" t="s">
        <v>20</v>
      </c>
      <c r="G89" t="s">
        <v>330</v>
      </c>
      <c r="L89" t="s">
        <v>334</v>
      </c>
      <c r="M89" t="s">
        <v>24</v>
      </c>
      <c r="N89" t="s">
        <v>31</v>
      </c>
      <c r="P89" s="11" t="s">
        <v>330</v>
      </c>
      <c r="Q89" s="12" t="s">
        <v>331</v>
      </c>
      <c r="R89" s="12" t="s">
        <v>331</v>
      </c>
      <c r="S89" s="12" t="b">
        <v>1</v>
      </c>
      <c r="T89" s="12" t="b">
        <v>1</v>
      </c>
      <c r="U89" s="12">
        <v>1</v>
      </c>
      <c r="V89" s="12" t="s">
        <v>332</v>
      </c>
      <c r="W89" s="12" t="s">
        <v>332</v>
      </c>
      <c r="X89" s="12" t="b">
        <v>1</v>
      </c>
      <c r="Y89" s="12" t="b">
        <v>1</v>
      </c>
      <c r="Z89" s="12">
        <v>1</v>
      </c>
      <c r="AA89" s="12">
        <v>0.74139999999999995</v>
      </c>
      <c r="AB89" s="12" t="s">
        <v>1325</v>
      </c>
      <c r="AC89" s="12" t="s">
        <v>1509</v>
      </c>
      <c r="AD89" s="13" t="b">
        <v>1</v>
      </c>
    </row>
    <row r="90" spans="1:30">
      <c r="A90" t="s">
        <v>335</v>
      </c>
      <c r="B90" t="s">
        <v>335</v>
      </c>
      <c r="C90" t="s">
        <v>336</v>
      </c>
      <c r="D90" t="s">
        <v>79</v>
      </c>
      <c r="E90" t="s">
        <v>20</v>
      </c>
      <c r="G90" t="s">
        <v>338</v>
      </c>
      <c r="L90" t="s">
        <v>334</v>
      </c>
      <c r="M90" t="s">
        <v>24</v>
      </c>
      <c r="N90" t="s">
        <v>31</v>
      </c>
      <c r="P90" s="11" t="s">
        <v>338</v>
      </c>
      <c r="Q90" s="12" t="s">
        <v>335</v>
      </c>
      <c r="R90" s="12" t="s">
        <v>335</v>
      </c>
      <c r="S90" s="12" t="b">
        <v>1</v>
      </c>
      <c r="T90" s="12" t="b">
        <v>1</v>
      </c>
      <c r="U90" s="12">
        <v>1</v>
      </c>
      <c r="V90" s="12" t="s">
        <v>336</v>
      </c>
      <c r="W90" s="12" t="s">
        <v>336</v>
      </c>
      <c r="X90" s="12" t="b">
        <v>1</v>
      </c>
      <c r="Y90" s="12" t="b">
        <v>1</v>
      </c>
      <c r="Z90" s="12">
        <v>1</v>
      </c>
      <c r="AA90" s="12">
        <v>1.1128</v>
      </c>
      <c r="AB90" s="12" t="s">
        <v>1326</v>
      </c>
      <c r="AC90" s="12" t="s">
        <v>1510</v>
      </c>
      <c r="AD90" s="13" t="b">
        <v>1</v>
      </c>
    </row>
    <row r="91" spans="1:30">
      <c r="A91" t="s">
        <v>339</v>
      </c>
      <c r="B91" t="s">
        <v>340</v>
      </c>
      <c r="C91" t="s">
        <v>341</v>
      </c>
      <c r="D91" t="s">
        <v>127</v>
      </c>
      <c r="E91" t="s">
        <v>127</v>
      </c>
      <c r="G91" t="s">
        <v>342</v>
      </c>
      <c r="L91" t="s">
        <v>334</v>
      </c>
      <c r="M91" t="s">
        <v>24</v>
      </c>
      <c r="N91" t="s">
        <v>31</v>
      </c>
      <c r="P91" s="11" t="s">
        <v>342</v>
      </c>
      <c r="Q91" s="12" t="s">
        <v>340</v>
      </c>
      <c r="R91" s="12" t="s">
        <v>340</v>
      </c>
      <c r="S91" s="12" t="b">
        <v>1</v>
      </c>
      <c r="T91" s="12" t="b">
        <v>1</v>
      </c>
      <c r="U91" s="12">
        <v>1</v>
      </c>
      <c r="V91" s="12" t="s">
        <v>341</v>
      </c>
      <c r="W91" s="12" t="s">
        <v>341</v>
      </c>
      <c r="X91" s="12" t="b">
        <v>1</v>
      </c>
      <c r="Y91" s="12" t="b">
        <v>1</v>
      </c>
      <c r="Z91" s="12">
        <v>1</v>
      </c>
      <c r="AA91" s="12">
        <v>1.2</v>
      </c>
      <c r="AB91" s="12" t="s">
        <v>340</v>
      </c>
      <c r="AC91" s="12" t="s">
        <v>341</v>
      </c>
      <c r="AD91" s="13" t="b">
        <v>1</v>
      </c>
    </row>
    <row r="92" spans="1:30">
      <c r="A92" t="s">
        <v>343</v>
      </c>
      <c r="B92" t="s">
        <v>344</v>
      </c>
      <c r="C92" t="s">
        <v>345</v>
      </c>
      <c r="D92" t="s">
        <v>19</v>
      </c>
      <c r="E92" t="s">
        <v>20</v>
      </c>
      <c r="F92" s="44" t="s">
        <v>346</v>
      </c>
      <c r="G92" t="s">
        <v>347</v>
      </c>
      <c r="L92" t="s">
        <v>334</v>
      </c>
      <c r="M92" t="s">
        <v>24</v>
      </c>
      <c r="N92" t="s">
        <v>25</v>
      </c>
      <c r="P92" s="11" t="s">
        <v>347</v>
      </c>
      <c r="Q92" s="12" t="s">
        <v>344</v>
      </c>
      <c r="R92" s="12" t="s">
        <v>344</v>
      </c>
      <c r="S92" s="12" t="b">
        <v>1</v>
      </c>
      <c r="T92" s="12" t="b">
        <v>1</v>
      </c>
      <c r="U92" s="12">
        <v>1</v>
      </c>
      <c r="V92" s="12" t="s">
        <v>345</v>
      </c>
      <c r="W92" s="12" t="s">
        <v>345</v>
      </c>
      <c r="X92" s="12" t="b">
        <v>1</v>
      </c>
      <c r="Y92" s="12" t="b">
        <v>1</v>
      </c>
      <c r="Z92" s="12">
        <v>1</v>
      </c>
      <c r="AA92" s="12">
        <v>1.0226</v>
      </c>
      <c r="AB92" s="12" t="s">
        <v>1327</v>
      </c>
      <c r="AC92" s="12" t="s">
        <v>1511</v>
      </c>
      <c r="AD92" s="13" t="b">
        <v>1</v>
      </c>
    </row>
    <row r="93" spans="1:30">
      <c r="A93" t="s">
        <v>348</v>
      </c>
      <c r="B93" t="s">
        <v>349</v>
      </c>
      <c r="C93" t="s">
        <v>350</v>
      </c>
      <c r="D93" t="s">
        <v>127</v>
      </c>
      <c r="E93" t="s">
        <v>127</v>
      </c>
      <c r="F93" s="43" t="s">
        <v>351</v>
      </c>
      <c r="G93" t="s">
        <v>352</v>
      </c>
      <c r="L93" t="s">
        <v>334</v>
      </c>
      <c r="M93" t="s">
        <v>24</v>
      </c>
      <c r="N93" t="s">
        <v>25</v>
      </c>
      <c r="P93" s="11" t="s">
        <v>352</v>
      </c>
      <c r="Q93" s="12" t="s">
        <v>349</v>
      </c>
      <c r="R93" s="12" t="s">
        <v>349</v>
      </c>
      <c r="S93" s="12" t="b">
        <v>1</v>
      </c>
      <c r="T93" s="12" t="b">
        <v>1</v>
      </c>
      <c r="U93" s="12">
        <v>1</v>
      </c>
      <c r="V93" s="12" t="s">
        <v>350</v>
      </c>
      <c r="W93" s="12" t="s">
        <v>350</v>
      </c>
      <c r="X93" s="12" t="b">
        <v>1</v>
      </c>
      <c r="Y93" s="12" t="b">
        <v>1</v>
      </c>
      <c r="Z93" s="12">
        <v>1</v>
      </c>
      <c r="AA93" s="12">
        <v>1.1599999999999999</v>
      </c>
      <c r="AB93" s="12" t="s">
        <v>1031</v>
      </c>
      <c r="AC93" s="12" t="s">
        <v>1512</v>
      </c>
      <c r="AD93" s="13" t="b">
        <v>1</v>
      </c>
    </row>
    <row r="94" spans="1:30">
      <c r="A94" t="s">
        <v>353</v>
      </c>
      <c r="B94" t="s">
        <v>241</v>
      </c>
      <c r="C94" t="s">
        <v>242</v>
      </c>
      <c r="D94" t="s">
        <v>19</v>
      </c>
      <c r="E94" t="s">
        <v>20</v>
      </c>
      <c r="G94" t="s">
        <v>355</v>
      </c>
      <c r="L94" t="s">
        <v>334</v>
      </c>
      <c r="M94" t="s">
        <v>24</v>
      </c>
      <c r="N94" t="s">
        <v>31</v>
      </c>
      <c r="P94" s="11" t="s">
        <v>355</v>
      </c>
      <c r="Q94" s="12" t="s">
        <v>241</v>
      </c>
      <c r="R94" s="12" t="s">
        <v>241</v>
      </c>
      <c r="S94" s="12" t="b">
        <v>1</v>
      </c>
      <c r="T94" s="12" t="b">
        <v>1</v>
      </c>
      <c r="U94" s="12">
        <v>1</v>
      </c>
      <c r="V94" s="12" t="s">
        <v>242</v>
      </c>
      <c r="W94" s="12" t="s">
        <v>1258</v>
      </c>
      <c r="X94" s="12" t="b">
        <v>0</v>
      </c>
      <c r="Y94" s="12" t="b">
        <v>1</v>
      </c>
      <c r="Z94" s="12">
        <v>3</v>
      </c>
      <c r="AA94" s="12">
        <v>0.94679999999999997</v>
      </c>
      <c r="AB94" s="12" t="s">
        <v>1328</v>
      </c>
      <c r="AC94" s="12" t="s">
        <v>1513</v>
      </c>
      <c r="AD94" s="13" t="b">
        <v>1</v>
      </c>
    </row>
    <row r="95" spans="1:30">
      <c r="A95" s="2" t="s">
        <v>356</v>
      </c>
      <c r="B95" s="2" t="s">
        <v>266</v>
      </c>
      <c r="C95" s="2" t="s">
        <v>357</v>
      </c>
      <c r="D95" s="2" t="s">
        <v>79</v>
      </c>
      <c r="E95" s="2" t="s">
        <v>20</v>
      </c>
      <c r="F95" s="2"/>
      <c r="G95" s="2" t="s">
        <v>358</v>
      </c>
      <c r="H95" s="2"/>
      <c r="I95" s="2"/>
      <c r="J95" s="2"/>
      <c r="K95" s="2"/>
      <c r="L95" s="2" t="s">
        <v>334</v>
      </c>
      <c r="M95" s="2" t="s">
        <v>24</v>
      </c>
      <c r="N95" s="2" t="s">
        <v>49</v>
      </c>
      <c r="O95" s="2"/>
      <c r="P95" s="11" t="s">
        <v>358</v>
      </c>
      <c r="Q95" s="12" t="s">
        <v>266</v>
      </c>
      <c r="R95" s="12" t="s">
        <v>328</v>
      </c>
      <c r="S95" s="12" t="b">
        <v>0</v>
      </c>
      <c r="T95" s="12" t="b">
        <v>1</v>
      </c>
      <c r="U95" s="12">
        <v>2</v>
      </c>
      <c r="V95" s="12" t="s">
        <v>357</v>
      </c>
      <c r="W95" s="12" t="s">
        <v>1329</v>
      </c>
      <c r="X95" s="12" t="b">
        <v>0</v>
      </c>
      <c r="Y95" s="12" t="b">
        <v>1</v>
      </c>
      <c r="Z95" s="12">
        <v>4</v>
      </c>
      <c r="AA95" s="12">
        <v>0.66930000000000001</v>
      </c>
      <c r="AB95" s="12" t="s">
        <v>1330</v>
      </c>
      <c r="AC95" s="12" t="s">
        <v>1514</v>
      </c>
      <c r="AD95" s="13" t="b">
        <v>1</v>
      </c>
    </row>
    <row r="96" spans="1:30">
      <c r="A96" t="s">
        <v>359</v>
      </c>
      <c r="B96" t="s">
        <v>360</v>
      </c>
      <c r="C96" t="s">
        <v>361</v>
      </c>
      <c r="D96" t="s">
        <v>127</v>
      </c>
      <c r="E96" t="s">
        <v>127</v>
      </c>
      <c r="F96" s="43" t="s">
        <v>362</v>
      </c>
      <c r="G96" t="s">
        <v>363</v>
      </c>
      <c r="L96" t="s">
        <v>334</v>
      </c>
      <c r="M96" t="s">
        <v>24</v>
      </c>
      <c r="N96" t="s">
        <v>25</v>
      </c>
      <c r="P96" s="11" t="s">
        <v>363</v>
      </c>
      <c r="Q96" s="12" t="s">
        <v>360</v>
      </c>
      <c r="R96" s="12" t="s">
        <v>1034</v>
      </c>
      <c r="S96" s="12" t="b">
        <v>0</v>
      </c>
      <c r="T96" s="12" t="b">
        <v>1</v>
      </c>
      <c r="U96" s="12">
        <v>4</v>
      </c>
      <c r="V96" s="12" t="s">
        <v>361</v>
      </c>
      <c r="W96" s="12" t="s">
        <v>361</v>
      </c>
      <c r="X96" s="12" t="b">
        <v>1</v>
      </c>
      <c r="Y96" s="12" t="b">
        <v>1</v>
      </c>
      <c r="Z96" s="12">
        <v>1</v>
      </c>
      <c r="AA96" s="12">
        <v>0.98180000000000001</v>
      </c>
      <c r="AB96" s="12" t="s">
        <v>1332</v>
      </c>
      <c r="AC96" s="12" t="s">
        <v>1515</v>
      </c>
      <c r="AD96" s="13" t="b">
        <v>1</v>
      </c>
    </row>
    <row r="97" spans="1:30">
      <c r="A97" t="s">
        <v>364</v>
      </c>
      <c r="B97" t="s">
        <v>365</v>
      </c>
      <c r="C97" t="s">
        <v>366</v>
      </c>
      <c r="D97" t="s">
        <v>19</v>
      </c>
      <c r="E97" t="s">
        <v>20</v>
      </c>
      <c r="F97" s="43" t="s">
        <v>1422</v>
      </c>
      <c r="G97" t="s">
        <v>368</v>
      </c>
      <c r="L97" t="s">
        <v>334</v>
      </c>
      <c r="M97" t="s">
        <v>24</v>
      </c>
      <c r="N97" t="s">
        <v>25</v>
      </c>
      <c r="P97" s="11" t="s">
        <v>368</v>
      </c>
      <c r="Q97" s="12" t="s">
        <v>365</v>
      </c>
      <c r="R97" s="12" t="s">
        <v>200</v>
      </c>
      <c r="S97" s="12" t="b">
        <v>0</v>
      </c>
      <c r="T97" s="12" t="b">
        <v>1</v>
      </c>
      <c r="U97" s="12">
        <v>4</v>
      </c>
      <c r="V97" s="12" t="s">
        <v>366</v>
      </c>
      <c r="W97" s="12" t="s">
        <v>678</v>
      </c>
      <c r="X97" s="12" t="b">
        <v>0</v>
      </c>
      <c r="Y97" s="12" t="b">
        <v>0</v>
      </c>
      <c r="Z97" s="12"/>
      <c r="AA97" s="12">
        <v>0.80730000000000002</v>
      </c>
      <c r="AB97" s="12" t="s">
        <v>1333</v>
      </c>
      <c r="AC97" s="12" t="s">
        <v>1516</v>
      </c>
      <c r="AD97" s="13" t="b">
        <v>1</v>
      </c>
    </row>
    <row r="98" spans="1:30">
      <c r="A98" t="s">
        <v>37</v>
      </c>
      <c r="B98" t="s">
        <v>38</v>
      </c>
      <c r="C98" t="s">
        <v>369</v>
      </c>
      <c r="D98" t="s">
        <v>127</v>
      </c>
      <c r="E98" t="s">
        <v>127</v>
      </c>
      <c r="G98" t="s">
        <v>371</v>
      </c>
      <c r="L98" t="s">
        <v>372</v>
      </c>
      <c r="M98" t="s">
        <v>24</v>
      </c>
      <c r="N98" t="s">
        <v>31</v>
      </c>
      <c r="P98" s="11" t="s">
        <v>371</v>
      </c>
      <c r="Q98" s="12" t="s">
        <v>38</v>
      </c>
      <c r="R98" s="12" t="s">
        <v>38</v>
      </c>
      <c r="S98" s="12" t="b">
        <v>1</v>
      </c>
      <c r="T98" s="12" t="b">
        <v>1</v>
      </c>
      <c r="U98" s="12">
        <v>1</v>
      </c>
      <c r="V98" s="12" t="s">
        <v>369</v>
      </c>
      <c r="W98" s="12" t="s">
        <v>369</v>
      </c>
      <c r="X98" s="12" t="b">
        <v>1</v>
      </c>
      <c r="Y98" s="12" t="b">
        <v>1</v>
      </c>
      <c r="Z98" s="12">
        <v>1</v>
      </c>
      <c r="AA98" s="12">
        <v>0.81559999999999999</v>
      </c>
      <c r="AB98" s="12" t="s">
        <v>1335</v>
      </c>
      <c r="AC98" s="12" t="s">
        <v>1517</v>
      </c>
      <c r="AD98" s="13" t="b">
        <v>1</v>
      </c>
    </row>
    <row r="99" spans="1:30">
      <c r="A99" t="s">
        <v>373</v>
      </c>
      <c r="B99" t="s">
        <v>271</v>
      </c>
      <c r="C99" t="s">
        <v>374</v>
      </c>
      <c r="D99" t="s">
        <v>127</v>
      </c>
      <c r="E99" t="s">
        <v>127</v>
      </c>
      <c r="G99" t="s">
        <v>375</v>
      </c>
      <c r="L99" t="s">
        <v>372</v>
      </c>
      <c r="M99" t="s">
        <v>24</v>
      </c>
      <c r="N99" t="s">
        <v>25</v>
      </c>
      <c r="P99" s="11" t="s">
        <v>375</v>
      </c>
      <c r="Q99" s="12" t="s">
        <v>271</v>
      </c>
      <c r="R99" s="12" t="s">
        <v>271</v>
      </c>
      <c r="S99" s="12" t="b">
        <v>1</v>
      </c>
      <c r="T99" s="12" t="b">
        <v>1</v>
      </c>
      <c r="U99" s="12">
        <v>1</v>
      </c>
      <c r="V99" s="12" t="s">
        <v>374</v>
      </c>
      <c r="W99" s="12" t="s">
        <v>374</v>
      </c>
      <c r="X99" s="12" t="b">
        <v>1</v>
      </c>
      <c r="Y99" s="12" t="b">
        <v>1</v>
      </c>
      <c r="Z99" s="12">
        <v>1</v>
      </c>
      <c r="AA99" s="12">
        <v>1.1588000000000001</v>
      </c>
      <c r="AB99" s="12" t="s">
        <v>271</v>
      </c>
      <c r="AC99" s="12" t="s">
        <v>1269</v>
      </c>
      <c r="AD99" s="13" t="b">
        <v>1</v>
      </c>
    </row>
    <row r="100" spans="1:30">
      <c r="A100" t="s">
        <v>376</v>
      </c>
      <c r="B100" t="s">
        <v>377</v>
      </c>
      <c r="C100" t="s">
        <v>378</v>
      </c>
      <c r="D100" t="s">
        <v>379</v>
      </c>
      <c r="E100" t="s">
        <v>379</v>
      </c>
      <c r="G100" t="s">
        <v>381</v>
      </c>
      <c r="L100" t="s">
        <v>372</v>
      </c>
      <c r="M100" t="s">
        <v>24</v>
      </c>
      <c r="N100" t="s">
        <v>49</v>
      </c>
      <c r="P100" s="11" t="s">
        <v>381</v>
      </c>
      <c r="Q100" s="12" t="s">
        <v>377</v>
      </c>
      <c r="R100" s="12" t="s">
        <v>377</v>
      </c>
      <c r="S100" s="12" t="b">
        <v>1</v>
      </c>
      <c r="T100" s="12" t="b">
        <v>1</v>
      </c>
      <c r="U100" s="12">
        <v>1</v>
      </c>
      <c r="V100" s="12" t="s">
        <v>378</v>
      </c>
      <c r="W100" s="12" t="s">
        <v>378</v>
      </c>
      <c r="X100" s="12" t="b">
        <v>1</v>
      </c>
      <c r="Y100" s="12" t="b">
        <v>1</v>
      </c>
      <c r="Z100" s="12">
        <v>1</v>
      </c>
      <c r="AA100" s="12">
        <v>0.76619999999999999</v>
      </c>
      <c r="AB100" s="12" t="s">
        <v>1336</v>
      </c>
      <c r="AC100" s="12" t="s">
        <v>1518</v>
      </c>
      <c r="AD100" s="13" t="b">
        <v>1</v>
      </c>
    </row>
    <row r="101" spans="1:30">
      <c r="A101" t="s">
        <v>382</v>
      </c>
      <c r="B101" t="s">
        <v>383</v>
      </c>
      <c r="C101" t="s">
        <v>384</v>
      </c>
      <c r="D101" t="s">
        <v>127</v>
      </c>
      <c r="E101" t="s">
        <v>127</v>
      </c>
      <c r="G101" t="s">
        <v>386</v>
      </c>
      <c r="L101" t="s">
        <v>372</v>
      </c>
      <c r="M101" t="s">
        <v>24</v>
      </c>
      <c r="N101" t="s">
        <v>31</v>
      </c>
      <c r="P101" s="11" t="s">
        <v>386</v>
      </c>
      <c r="Q101" s="12" t="s">
        <v>383</v>
      </c>
      <c r="R101" s="12" t="s">
        <v>383</v>
      </c>
      <c r="S101" s="12" t="b">
        <v>1</v>
      </c>
      <c r="T101" s="12" t="b">
        <v>1</v>
      </c>
      <c r="U101" s="12">
        <v>1</v>
      </c>
      <c r="V101" s="12" t="s">
        <v>384</v>
      </c>
      <c r="W101" s="12" t="s">
        <v>384</v>
      </c>
      <c r="X101" s="12" t="b">
        <v>1</v>
      </c>
      <c r="Y101" s="12" t="b">
        <v>1</v>
      </c>
      <c r="Z101" s="12">
        <v>1</v>
      </c>
      <c r="AA101" s="12">
        <v>1.1755</v>
      </c>
      <c r="AB101" s="12" t="s">
        <v>1337</v>
      </c>
      <c r="AC101" s="12" t="s">
        <v>1519</v>
      </c>
      <c r="AD101" s="13" t="b">
        <v>1</v>
      </c>
    </row>
    <row r="102" spans="1:30">
      <c r="A102" t="s">
        <v>382</v>
      </c>
      <c r="B102" t="s">
        <v>383</v>
      </c>
      <c r="C102" t="s">
        <v>384</v>
      </c>
      <c r="D102" t="s">
        <v>127</v>
      </c>
      <c r="E102" t="s">
        <v>127</v>
      </c>
      <c r="G102" t="s">
        <v>387</v>
      </c>
      <c r="L102" t="s">
        <v>372</v>
      </c>
      <c r="M102" t="s">
        <v>24</v>
      </c>
      <c r="N102" t="s">
        <v>31</v>
      </c>
      <c r="P102" s="11" t="s">
        <v>387</v>
      </c>
      <c r="Q102" s="12" t="s">
        <v>383</v>
      </c>
      <c r="R102" s="12" t="s">
        <v>383</v>
      </c>
      <c r="S102" s="12" t="b">
        <v>1</v>
      </c>
      <c r="T102" s="12" t="b">
        <v>1</v>
      </c>
      <c r="U102" s="12">
        <v>1</v>
      </c>
      <c r="V102" s="12" t="s">
        <v>384</v>
      </c>
      <c r="W102" s="12" t="s">
        <v>384</v>
      </c>
      <c r="X102" s="12" t="b">
        <v>1</v>
      </c>
      <c r="Y102" s="12" t="b">
        <v>1</v>
      </c>
      <c r="Z102" s="12">
        <v>1</v>
      </c>
      <c r="AA102" s="12">
        <v>1.1755</v>
      </c>
      <c r="AB102" s="12" t="s">
        <v>1337</v>
      </c>
      <c r="AC102" s="12" t="s">
        <v>1428</v>
      </c>
      <c r="AD102" s="13" t="b">
        <v>1</v>
      </c>
    </row>
    <row r="103" spans="1:30">
      <c r="A103" t="s">
        <v>388</v>
      </c>
      <c r="B103" t="s">
        <v>389</v>
      </c>
      <c r="C103" t="s">
        <v>390</v>
      </c>
      <c r="D103" t="s">
        <v>127</v>
      </c>
      <c r="E103" t="s">
        <v>127</v>
      </c>
      <c r="G103" t="s">
        <v>392</v>
      </c>
      <c r="L103" t="s">
        <v>372</v>
      </c>
      <c r="M103" t="s">
        <v>24</v>
      </c>
      <c r="N103" t="s">
        <v>25</v>
      </c>
      <c r="P103" s="11" t="s">
        <v>392</v>
      </c>
      <c r="Q103" s="12" t="s">
        <v>389</v>
      </c>
      <c r="R103" s="12" t="s">
        <v>389</v>
      </c>
      <c r="S103" s="12" t="b">
        <v>1</v>
      </c>
      <c r="T103" s="12" t="b">
        <v>1</v>
      </c>
      <c r="U103" s="12">
        <v>1</v>
      </c>
      <c r="V103" s="12" t="s">
        <v>390</v>
      </c>
      <c r="W103" s="12" t="s">
        <v>384</v>
      </c>
      <c r="X103" s="12" t="b">
        <v>0</v>
      </c>
      <c r="Y103" s="12" t="b">
        <v>1</v>
      </c>
      <c r="Z103" s="12">
        <v>3</v>
      </c>
      <c r="AA103" s="12">
        <v>1.1183000000000001</v>
      </c>
      <c r="AB103" s="12" t="s">
        <v>1338</v>
      </c>
      <c r="AC103" s="12" t="s">
        <v>1519</v>
      </c>
      <c r="AD103" s="13" t="b">
        <v>1</v>
      </c>
    </row>
    <row r="104" spans="1:30">
      <c r="A104" t="s">
        <v>393</v>
      </c>
      <c r="B104" t="s">
        <v>344</v>
      </c>
      <c r="C104" t="s">
        <v>394</v>
      </c>
      <c r="D104" t="s">
        <v>127</v>
      </c>
      <c r="E104" t="s">
        <v>127</v>
      </c>
      <c r="G104" t="s">
        <v>395</v>
      </c>
      <c r="L104" t="s">
        <v>372</v>
      </c>
      <c r="M104" t="s">
        <v>24</v>
      </c>
      <c r="N104" t="s">
        <v>25</v>
      </c>
      <c r="O104" t="s">
        <v>1132</v>
      </c>
      <c r="P104" s="11" t="s">
        <v>395</v>
      </c>
      <c r="Q104" s="12" t="s">
        <v>344</v>
      </c>
      <c r="R104" s="12" t="s">
        <v>344</v>
      </c>
      <c r="S104" s="12" t="b">
        <v>1</v>
      </c>
      <c r="T104" s="12" t="b">
        <v>1</v>
      </c>
      <c r="U104" s="12">
        <v>1</v>
      </c>
      <c r="V104" s="12" t="s">
        <v>394</v>
      </c>
      <c r="W104" s="12" t="s">
        <v>394</v>
      </c>
      <c r="X104" s="12" t="b">
        <v>1</v>
      </c>
      <c r="Y104" s="12" t="b">
        <v>1</v>
      </c>
      <c r="Z104" s="12">
        <v>1</v>
      </c>
      <c r="AA104" s="12">
        <v>0.81789999999999996</v>
      </c>
      <c r="AB104" s="12" t="s">
        <v>344</v>
      </c>
      <c r="AC104" s="12" t="s">
        <v>1276</v>
      </c>
      <c r="AD104" s="13" t="b">
        <v>1</v>
      </c>
    </row>
    <row r="105" spans="1:30">
      <c r="A105" t="s">
        <v>396</v>
      </c>
      <c r="B105" t="s">
        <v>397</v>
      </c>
      <c r="C105" t="s">
        <v>398</v>
      </c>
      <c r="D105" t="s">
        <v>127</v>
      </c>
      <c r="E105" t="s">
        <v>127</v>
      </c>
      <c r="G105" t="s">
        <v>400</v>
      </c>
      <c r="L105" t="s">
        <v>372</v>
      </c>
      <c r="M105" t="s">
        <v>24</v>
      </c>
      <c r="N105" t="s">
        <v>25</v>
      </c>
      <c r="P105" s="11" t="s">
        <v>400</v>
      </c>
      <c r="Q105" s="12" t="s">
        <v>397</v>
      </c>
      <c r="R105" s="12" t="s">
        <v>397</v>
      </c>
      <c r="S105" s="12" t="b">
        <v>1</v>
      </c>
      <c r="T105" s="12" t="b">
        <v>1</v>
      </c>
      <c r="U105" s="12">
        <v>1</v>
      </c>
      <c r="V105" s="12" t="s">
        <v>398</v>
      </c>
      <c r="W105" s="12" t="s">
        <v>398</v>
      </c>
      <c r="X105" s="12" t="b">
        <v>1</v>
      </c>
      <c r="Y105" s="12" t="b">
        <v>1</v>
      </c>
      <c r="Z105" s="12">
        <v>1</v>
      </c>
      <c r="AA105" s="12">
        <v>1.0125</v>
      </c>
      <c r="AB105" s="12" t="s">
        <v>397</v>
      </c>
      <c r="AC105" s="12" t="s">
        <v>1277</v>
      </c>
      <c r="AD105" s="13" t="b">
        <v>1</v>
      </c>
    </row>
    <row r="106" spans="1:30">
      <c r="A106" t="s">
        <v>401</v>
      </c>
      <c r="B106" t="s">
        <v>397</v>
      </c>
      <c r="C106" t="s">
        <v>402</v>
      </c>
      <c r="D106" t="s">
        <v>379</v>
      </c>
      <c r="E106" t="s">
        <v>379</v>
      </c>
      <c r="G106" t="s">
        <v>403</v>
      </c>
      <c r="L106" t="s">
        <v>372</v>
      </c>
      <c r="M106" t="s">
        <v>24</v>
      </c>
      <c r="N106" t="s">
        <v>25</v>
      </c>
      <c r="P106" s="11" t="s">
        <v>403</v>
      </c>
      <c r="Q106" s="12" t="s">
        <v>397</v>
      </c>
      <c r="R106" s="12" t="s">
        <v>397</v>
      </c>
      <c r="S106" s="12" t="b">
        <v>1</v>
      </c>
      <c r="T106" s="12" t="b">
        <v>1</v>
      </c>
      <c r="U106" s="12">
        <v>1</v>
      </c>
      <c r="V106" s="12" t="s">
        <v>402</v>
      </c>
      <c r="W106" s="12" t="s">
        <v>398</v>
      </c>
      <c r="X106" s="12" t="b">
        <v>0</v>
      </c>
      <c r="Y106" s="12" t="b">
        <v>1</v>
      </c>
      <c r="Z106" s="12">
        <v>2</v>
      </c>
      <c r="AA106" s="12">
        <v>1.0125</v>
      </c>
      <c r="AB106" s="12" t="s">
        <v>397</v>
      </c>
      <c r="AC106" s="12" t="s">
        <v>1277</v>
      </c>
      <c r="AD106" s="13" t="b">
        <v>1</v>
      </c>
    </row>
    <row r="107" spans="1:30">
      <c r="A107" t="s">
        <v>404</v>
      </c>
      <c r="B107" t="s">
        <v>405</v>
      </c>
      <c r="C107" t="s">
        <v>406</v>
      </c>
      <c r="D107" t="s">
        <v>127</v>
      </c>
      <c r="E107" t="s">
        <v>127</v>
      </c>
      <c r="G107" t="s">
        <v>404</v>
      </c>
      <c r="L107" t="s">
        <v>372</v>
      </c>
      <c r="M107" t="s">
        <v>24</v>
      </c>
      <c r="N107" t="s">
        <v>25</v>
      </c>
      <c r="P107" s="11" t="s">
        <v>404</v>
      </c>
      <c r="Q107" s="12" t="s">
        <v>405</v>
      </c>
      <c r="R107" s="12" t="s">
        <v>405</v>
      </c>
      <c r="S107" s="12" t="b">
        <v>1</v>
      </c>
      <c r="T107" s="12" t="b">
        <v>1</v>
      </c>
      <c r="U107" s="12">
        <v>1</v>
      </c>
      <c r="V107" s="12" t="s">
        <v>406</v>
      </c>
      <c r="W107" s="12" t="s">
        <v>406</v>
      </c>
      <c r="X107" s="12" t="b">
        <v>1</v>
      </c>
      <c r="Y107" s="12" t="b">
        <v>1</v>
      </c>
      <c r="Z107" s="12">
        <v>1</v>
      </c>
      <c r="AA107" s="12">
        <v>1.0589999999999999</v>
      </c>
      <c r="AB107" s="12" t="s">
        <v>1339</v>
      </c>
      <c r="AC107" s="12" t="s">
        <v>1520</v>
      </c>
      <c r="AD107" s="13" t="b">
        <v>1</v>
      </c>
    </row>
    <row r="108" spans="1:30">
      <c r="A108" t="s">
        <v>408</v>
      </c>
      <c r="B108" t="s">
        <v>405</v>
      </c>
      <c r="C108" t="s">
        <v>409</v>
      </c>
      <c r="D108" t="s">
        <v>379</v>
      </c>
      <c r="E108" t="s">
        <v>379</v>
      </c>
      <c r="G108" t="s">
        <v>408</v>
      </c>
      <c r="L108" t="s">
        <v>372</v>
      </c>
      <c r="M108" t="s">
        <v>24</v>
      </c>
      <c r="N108" t="s">
        <v>25</v>
      </c>
      <c r="P108" s="11" t="s">
        <v>408</v>
      </c>
      <c r="Q108" s="12" t="s">
        <v>405</v>
      </c>
      <c r="R108" s="12" t="s">
        <v>405</v>
      </c>
      <c r="S108" s="12" t="b">
        <v>1</v>
      </c>
      <c r="T108" s="12" t="b">
        <v>1</v>
      </c>
      <c r="U108" s="12">
        <v>1</v>
      </c>
      <c r="V108" s="12" t="s">
        <v>409</v>
      </c>
      <c r="W108" s="12" t="s">
        <v>409</v>
      </c>
      <c r="X108" s="12" t="b">
        <v>1</v>
      </c>
      <c r="Y108" s="12" t="b">
        <v>1</v>
      </c>
      <c r="Z108" s="12">
        <v>1</v>
      </c>
      <c r="AA108" s="12">
        <v>1.0589999999999999</v>
      </c>
      <c r="AB108" s="12" t="s">
        <v>1339</v>
      </c>
      <c r="AC108" s="12" t="s">
        <v>1521</v>
      </c>
      <c r="AD108" s="13" t="b">
        <v>1</v>
      </c>
    </row>
    <row r="109" spans="1:30">
      <c r="A109" t="s">
        <v>410</v>
      </c>
      <c r="B109" t="s">
        <v>595</v>
      </c>
      <c r="C109" t="s">
        <v>411</v>
      </c>
      <c r="D109" t="s">
        <v>127</v>
      </c>
      <c r="E109" t="s">
        <v>127</v>
      </c>
      <c r="G109" t="s">
        <v>412</v>
      </c>
      <c r="L109" t="s">
        <v>372</v>
      </c>
      <c r="M109" t="s">
        <v>24</v>
      </c>
      <c r="N109" t="s">
        <v>31</v>
      </c>
      <c r="P109" s="11" t="s">
        <v>412</v>
      </c>
      <c r="Q109" s="12" t="s">
        <v>595</v>
      </c>
      <c r="R109" s="12" t="s">
        <v>410</v>
      </c>
      <c r="S109" s="12" t="b">
        <v>0</v>
      </c>
      <c r="T109" s="12" t="b">
        <v>1</v>
      </c>
      <c r="U109" s="12">
        <v>2</v>
      </c>
      <c r="V109" s="12" t="s">
        <v>411</v>
      </c>
      <c r="W109" s="12" t="s">
        <v>411</v>
      </c>
      <c r="X109" s="12" t="b">
        <v>1</v>
      </c>
      <c r="Y109" s="12" t="b">
        <v>1</v>
      </c>
      <c r="Z109" s="12">
        <v>1</v>
      </c>
      <c r="AA109" s="12">
        <v>1.1418999999999999</v>
      </c>
      <c r="AB109" s="12" t="s">
        <v>1042</v>
      </c>
      <c r="AC109" s="12" t="s">
        <v>1522</v>
      </c>
      <c r="AD109" s="13" t="b">
        <v>1</v>
      </c>
    </row>
    <row r="110" spans="1:30">
      <c r="A110" t="s">
        <v>413</v>
      </c>
      <c r="B110" t="s">
        <v>331</v>
      </c>
      <c r="C110" t="s">
        <v>414</v>
      </c>
      <c r="D110" t="s">
        <v>127</v>
      </c>
      <c r="E110" t="s">
        <v>127</v>
      </c>
      <c r="G110" t="s">
        <v>415</v>
      </c>
      <c r="L110" t="s">
        <v>372</v>
      </c>
      <c r="M110" t="s">
        <v>24</v>
      </c>
      <c r="N110" t="s">
        <v>31</v>
      </c>
      <c r="P110" s="14" t="s">
        <v>415</v>
      </c>
      <c r="Q110" s="15" t="s">
        <v>331</v>
      </c>
      <c r="R110" s="15" t="s">
        <v>331</v>
      </c>
      <c r="S110" s="15" t="b">
        <v>1</v>
      </c>
      <c r="T110" s="15" t="b">
        <v>1</v>
      </c>
      <c r="U110" s="15">
        <v>1</v>
      </c>
      <c r="V110" s="15" t="s">
        <v>414</v>
      </c>
      <c r="W110" s="15" t="s">
        <v>414</v>
      </c>
      <c r="X110" s="15" t="b">
        <v>1</v>
      </c>
      <c r="Y110" s="15" t="b">
        <v>1</v>
      </c>
      <c r="Z110" s="15">
        <v>1</v>
      </c>
      <c r="AA110" s="15">
        <v>0.83660000000000001</v>
      </c>
      <c r="AB110" s="15" t="s">
        <v>331</v>
      </c>
      <c r="AC110" s="15" t="s">
        <v>1284</v>
      </c>
      <c r="AD110" s="16" t="b">
        <v>1</v>
      </c>
    </row>
  </sheetData>
  <autoFilter ref="A15:AJ110" xr:uid="{5E0BE612-B831-4DFF-B4BD-4E14D20E8F9D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0000-1E32-4833-B19F-FBB97D357143}">
  <sheetPr filterMode="1"/>
  <dimension ref="A1:AU110"/>
  <sheetViews>
    <sheetView topLeftCell="AE1" workbookViewId="0">
      <selection activeCell="AJ12" sqref="AJ12"/>
    </sheetView>
  </sheetViews>
  <sheetFormatPr defaultRowHeight="15"/>
  <cols>
    <col min="1" max="1" width="23.28515625" customWidth="1"/>
    <col min="2" max="2" width="16.140625" customWidth="1"/>
    <col min="3" max="3" width="17.42578125" customWidth="1"/>
    <col min="4" max="4" width="13.7109375" customWidth="1"/>
    <col min="5" max="5" width="11.140625" customWidth="1"/>
    <col min="6" max="6" width="26" customWidth="1"/>
    <col min="7" max="7" width="23.85546875" customWidth="1"/>
    <col min="8" max="11" width="9.140625" bestFit="1" customWidth="1"/>
    <col min="12" max="12" width="16" bestFit="1" customWidth="1"/>
    <col min="13" max="13" width="9.140625" bestFit="1" customWidth="1"/>
    <col min="14" max="14" width="25.140625" customWidth="1"/>
    <col min="15" max="16" width="16.28515625" customWidth="1"/>
    <col min="17" max="17" width="20.85546875" customWidth="1"/>
    <col min="18" max="18" width="23.140625" customWidth="1"/>
    <col min="19" max="20" width="9.140625" bestFit="1" customWidth="1"/>
    <col min="21" max="21" width="9.28515625" customWidth="1"/>
    <col min="22" max="22" width="23" customWidth="1"/>
    <col min="23" max="23" width="21.42578125" customWidth="1"/>
    <col min="24" max="24" width="10.140625" customWidth="1"/>
    <col min="25" max="25" width="9.140625" bestFit="1" customWidth="1"/>
    <col min="26" max="26" width="11.42578125" customWidth="1"/>
    <col min="27" max="29" width="9.140625" bestFit="1" customWidth="1"/>
    <col min="30" max="30" width="12" customWidth="1"/>
    <col min="31" max="31" width="29.140625" customWidth="1"/>
    <col min="32" max="32" width="9.140625" bestFit="1" customWidth="1"/>
    <col min="33" max="33" width="14.85546875" customWidth="1"/>
    <col min="34" max="34" width="9.42578125" customWidth="1"/>
    <col min="35" max="35" width="15.140625" customWidth="1"/>
    <col min="36" max="36" width="12.5703125" customWidth="1"/>
    <col min="42" max="42" width="8.7109375" customWidth="1"/>
    <col min="43" max="43" width="14.28515625" customWidth="1"/>
  </cols>
  <sheetData>
    <row r="1" spans="1:47">
      <c r="AF1" t="s">
        <v>1101</v>
      </c>
      <c r="AL1" t="s">
        <v>31</v>
      </c>
      <c r="AQ1" t="s">
        <v>1442</v>
      </c>
    </row>
    <row r="2" spans="1:47">
      <c r="AF2" t="str" cm="1">
        <f t="array" ref="AF2:AF8">_xlfn.UNIQUE(L16:L506)</f>
        <v>us bank cashfile</v>
      </c>
      <c r="AH2">
        <f>COUNTIFS($N$16:$N$499,"Company Match", L$16:L$499, AF2)</f>
        <v>14</v>
      </c>
      <c r="AI2">
        <f>COUNTIFS($N$16:$N$506,"Company Match", L$16:L$506, AF2, S$16:S$506, TRUE)</f>
        <v>13</v>
      </c>
      <c r="AJ2" s="21">
        <f>AI2/AH2</f>
        <v>0.9285714285714286</v>
      </c>
      <c r="AL2">
        <f>COUNTIFS($N$16:$N$499,"Security Match", L$16:L$499, AF2)</f>
        <v>12</v>
      </c>
      <c r="AM2">
        <f>COUNTIFS($N$16:$N$506,"Security Match", L$16:L$506, AF2, S$16:S$506, TRUE)</f>
        <v>12</v>
      </c>
      <c r="AN2" s="40">
        <f>AM2/AL2</f>
        <v>1</v>
      </c>
      <c r="AQ2" t="str" cm="1">
        <f t="array" ref="AQ2:AQ8">_xlfn.UNIQUE(L16:L506)</f>
        <v>us bank cashfile</v>
      </c>
      <c r="AR2">
        <f>COUNTIFS($N$16:$N$499,"Company Match", L$16:L$499, AF2)</f>
        <v>14</v>
      </c>
      <c r="AS2">
        <f>COUNTIFS($N$16:$N$506,"Company Match", L$16:L$506, AF2, X$16:X$506, TRUE)</f>
        <v>12</v>
      </c>
      <c r="AT2" s="21">
        <f>AS2/AR2</f>
        <v>0.8571428571428571</v>
      </c>
    </row>
    <row r="3" spans="1:47">
      <c r="AF3" t="str">
        <v>watc_holdings</v>
      </c>
      <c r="AH3">
        <f>COUNTIFS($N$16:$N$499,"Company Match", L$16:L$499, AF3)</f>
        <v>7</v>
      </c>
      <c r="AI3">
        <f>COUNTIFS($N$16:$N$506,"Company Match", L$16:L$506, AF3, S$16:S$506, TRUE)</f>
        <v>6</v>
      </c>
      <c r="AJ3" s="21">
        <f>AI3/AH3</f>
        <v>0.8571428571428571</v>
      </c>
      <c r="AL3">
        <f>COUNTIFS($N$16:$N$499,"Security Match", L$16:L$499, AF3)</f>
        <v>5</v>
      </c>
      <c r="AM3">
        <f>COUNTIFS($N$16:$N$506,"Security Match", L$16:L$506, AF3, S$16:S$506, TRUE)</f>
        <v>5</v>
      </c>
      <c r="AN3" s="40">
        <f>AM3/AL3</f>
        <v>1</v>
      </c>
      <c r="AQ3" t="str">
        <v>watc_holdings</v>
      </c>
      <c r="AR3">
        <f>COUNTIFS($N$16:$N$499,"Company Match", L$16:L$499, AF3)</f>
        <v>7</v>
      </c>
      <c r="AS3">
        <f>COUNTIFS($N$16:$N$506,"Company Match", L$16:L$506, AF3, X$16:X$506, TRUE)</f>
        <v>6</v>
      </c>
      <c r="AT3" s="21">
        <f t="shared" ref="AT3:AT7" si="0">AS3/AR3</f>
        <v>0.8571428571428571</v>
      </c>
    </row>
    <row r="4" spans="1:47">
      <c r="AF4" t="str">
        <v>market_value</v>
      </c>
      <c r="AH4">
        <f>COUNTIFS($N$16:$N$499,"Company Match", L$16:L$499, AF4)</f>
        <v>8</v>
      </c>
      <c r="AI4">
        <f>COUNTIFS($N$16:$N$506,"Company Match", L$16:L$506, AF4, S$16:S$506, TRUE)</f>
        <v>7</v>
      </c>
      <c r="AJ4" s="21">
        <f>AI4/AH4</f>
        <v>0.875</v>
      </c>
      <c r="AL4">
        <f>COUNTIFS($N$16:$N$499,"Security Match", L$16:L$499, AF4)</f>
        <v>5</v>
      </c>
      <c r="AM4">
        <f>COUNTIFS($N$16:$N$506,"Security Match", L$16:L$506, AF4, S$16:S$506, TRUE)</f>
        <v>5</v>
      </c>
      <c r="AN4" s="40">
        <f>AM4/AL4</f>
        <v>1</v>
      </c>
      <c r="AQ4" t="str">
        <v>market_value</v>
      </c>
      <c r="AR4">
        <f>COUNTIFS($N$16:$N$499,"Company Match", L$16:L$499, AF4)</f>
        <v>8</v>
      </c>
      <c r="AS4">
        <f>COUNTIFS($N$16:$N$506,"Company Match", L$16:L$506, AF4, X$16:X$506, TRUE)</f>
        <v>4</v>
      </c>
      <c r="AT4" s="21">
        <f t="shared" si="0"/>
        <v>0.5</v>
      </c>
    </row>
    <row r="5" spans="1:47">
      <c r="AF5" t="str">
        <v>master_ratings</v>
      </c>
      <c r="AH5">
        <f>COUNTIFS($N$16:$N$499,"Company Match", L$16:L$499, AF5)</f>
        <v>9</v>
      </c>
      <c r="AI5">
        <f>COUNTIFS($N$16:$N$506,"Company Match", L$16:L$506, AF5, S$16:S$506, TRUE)</f>
        <v>9</v>
      </c>
      <c r="AJ5" s="21">
        <f>AI5/AH5</f>
        <v>1</v>
      </c>
      <c r="AL5">
        <f>COUNTIFS($N$16:$N$499,"Security Match", L$16:L$499, AF5)</f>
        <v>0</v>
      </c>
      <c r="AM5">
        <f>COUNTIFS($N$16:$N$506,"Security Match", L$16:L$506, AF5, S$16:S$506, TRUE)</f>
        <v>0</v>
      </c>
      <c r="AQ5" t="str">
        <v>master_ratings</v>
      </c>
      <c r="AR5">
        <f>COUNTIFS($N$16:$N$499,"Company Match", L$16:L$499, AF5)</f>
        <v>9</v>
      </c>
      <c r="AS5">
        <f>COUNTIFS($N$16:$N$506,"Company Match", L$16:L$506, AF5, X$16:X$506, TRUE)</f>
        <v>1</v>
      </c>
      <c r="AT5" s="21">
        <f t="shared" si="0"/>
        <v>0.1111111111111111</v>
      </c>
      <c r="AU5" t="s">
        <v>1523</v>
      </c>
    </row>
    <row r="6" spans="1:47">
      <c r="AF6" t="str">
        <v>consolidated_soi</v>
      </c>
      <c r="AH6">
        <f>COUNTIFS($N$16:$N$499,"Company Match", L$16:L$499, AF6)</f>
        <v>4</v>
      </c>
      <c r="AI6">
        <f>COUNTIFS($N$16:$N$506,"Company Match", L$16:L$506, AF6, S$16:S$506, TRUE)</f>
        <v>4</v>
      </c>
      <c r="AJ6" s="21">
        <f>AI6/AH6</f>
        <v>1</v>
      </c>
      <c r="AL6">
        <f>COUNTIFS($N$16:$N$499,"Security Match", L$16:L$499, AF6)</f>
        <v>4</v>
      </c>
      <c r="AM6">
        <f>COUNTIFS($N$16:$N$506,"Security Match", L$16:L$506, AF6, S$16:S$506, TRUE)</f>
        <v>4</v>
      </c>
      <c r="AN6" s="40">
        <f>AM6/AL6</f>
        <v>1</v>
      </c>
      <c r="AQ6" t="str">
        <v>consolidated_soi</v>
      </c>
      <c r="AR6">
        <f>COUNTIFS($N$16:$N$499,"Company Match", L$16:L$499, AF6)</f>
        <v>4</v>
      </c>
      <c r="AS6">
        <f>COUNTIFS($N$16:$N$506,"Company Match", L$16:L$506, AF6, X$16:X$506, TRUE)</f>
        <v>1</v>
      </c>
      <c r="AT6" s="21">
        <f t="shared" si="0"/>
        <v>0.25</v>
      </c>
    </row>
    <row r="7" spans="1:47">
      <c r="AF7" t="str">
        <v>daily_long_short</v>
      </c>
      <c r="AH7">
        <f>COUNTIFS($N$16:$N$499,"Company Match", L$16:L$499, AF7)</f>
        <v>7</v>
      </c>
      <c r="AI7">
        <f>COUNTIFS($N$16:$N$506,"Company Match", L$16:L$506, AF7, S$16:S$506, TRUE)</f>
        <v>7</v>
      </c>
      <c r="AJ7" s="21">
        <f>AI7/AH7</f>
        <v>1</v>
      </c>
      <c r="AL7">
        <f>COUNTIFS($N$16:$N$499,"Security Match", L$16:L$499, AF7)</f>
        <v>5</v>
      </c>
      <c r="AM7">
        <f>COUNTIFS($N$16:$N$506,"Security Match", L$16:L$506, AF7, S$16:S$506, TRUE)</f>
        <v>5</v>
      </c>
      <c r="AN7" s="40">
        <f>AM7/AL7</f>
        <v>1</v>
      </c>
      <c r="AQ7" t="str">
        <v>daily_long_short</v>
      </c>
      <c r="AR7">
        <f>COUNTIFS($N$16:$N$499,"Company Match", L$16:L$499, AF7)</f>
        <v>7</v>
      </c>
      <c r="AS7">
        <f>COUNTIFS($N$16:$N$506,"Company Match", L$16:L$506, AF7, X$16:X$506, TRUE)</f>
        <v>0</v>
      </c>
      <c r="AT7" s="21">
        <f t="shared" si="0"/>
        <v>0</v>
      </c>
    </row>
    <row r="8" spans="1:47">
      <c r="AF8">
        <v>0</v>
      </c>
      <c r="AN8" s="40"/>
      <c r="AQ8">
        <v>0</v>
      </c>
    </row>
    <row r="10" spans="1:47">
      <c r="AE10" s="25" t="s">
        <v>981</v>
      </c>
      <c r="AF10" s="25" t="s">
        <v>982</v>
      </c>
      <c r="AG10" s="25" t="s">
        <v>1102</v>
      </c>
      <c r="AH10" s="25" t="s">
        <v>984</v>
      </c>
      <c r="AI10" s="25" t="s">
        <v>1103</v>
      </c>
      <c r="AJ10" s="25" t="s">
        <v>984</v>
      </c>
    </row>
    <row r="11" spans="1:47">
      <c r="AE11" s="26" t="s">
        <v>25</v>
      </c>
      <c r="AF11" s="28">
        <f>COUNTIF($N$16:$N$110,"Company Match")</f>
        <v>49</v>
      </c>
      <c r="AG11" s="28">
        <f>COUNTIFS($N$16:$N$110,"Company Match",$S$16:$S$110,TRUE)</f>
        <v>46</v>
      </c>
      <c r="AH11" s="29">
        <f>IF(AF11&gt;0,AG11/AF11,0)</f>
        <v>0.93877551020408168</v>
      </c>
      <c r="AI11" s="28">
        <f>COUNTIFS($N$16:$N$126,"Company Match",$X$16:$X$126,TRUE)</f>
        <v>24</v>
      </c>
      <c r="AJ11" s="29">
        <f>IF(AF11&gt;0,AI11/AF11,0)</f>
        <v>0.48979591836734693</v>
      </c>
    </row>
    <row r="12" spans="1:47">
      <c r="AE12" s="26" t="s">
        <v>31</v>
      </c>
      <c r="AF12" s="28">
        <f>COUNTIF($N$16:$N$110,"Security Match")</f>
        <v>31</v>
      </c>
      <c r="AG12" s="28">
        <f>COUNTIFS($N$16:$N$110,"Security Match",$S$16:$S$110,TRUE)</f>
        <v>31</v>
      </c>
      <c r="AH12" s="29">
        <f>IF(AF12&gt;0,AG12/AF12,0)</f>
        <v>1</v>
      </c>
      <c r="AI12" s="28">
        <f>COUNTIFS($N$16:$N$126,"Security Match",$X$16:$X$126,TRUE)</f>
        <v>17</v>
      </c>
      <c r="AJ12" s="29">
        <f>IF(AF12&gt;0,AI12/AF12,0)</f>
        <v>0.54838709677419351</v>
      </c>
    </row>
    <row r="13" spans="1:47">
      <c r="AE13" s="27" t="s">
        <v>985</v>
      </c>
      <c r="AF13" s="30">
        <f>SUM(AF11:AF12,AF14)</f>
        <v>95</v>
      </c>
      <c r="AG13" s="30">
        <f>SUM(AG11:AG12,AG14)</f>
        <v>83</v>
      </c>
      <c r="AH13" s="31">
        <f>IF(AF13&gt;0,AG13/AF13,0)</f>
        <v>0.87368421052631584</v>
      </c>
      <c r="AI13" s="30">
        <f>SUM(AI11:AI12,AI14)</f>
        <v>44</v>
      </c>
      <c r="AJ13" s="31">
        <f>IF(AF13&gt;0,AI13/AF13,0)</f>
        <v>0.4631578947368421</v>
      </c>
    </row>
    <row r="14" spans="1:47">
      <c r="AE14" s="26" t="s">
        <v>49</v>
      </c>
      <c r="AF14" s="28">
        <f>COUNTIF($N$16:$N$126,"Company Knowledge Match")</f>
        <v>15</v>
      </c>
      <c r="AG14" s="28">
        <f>COUNTIFS($N$16:$N$110,"Company Knowledge Match",$S$16:$S$110,TRUE)</f>
        <v>6</v>
      </c>
      <c r="AH14" s="29">
        <f>IF(AF14&gt;0,AG14/AF14,0)</f>
        <v>0.4</v>
      </c>
      <c r="AI14" s="28">
        <f>COUNTIFS($N$16:$N$126,"Company Knowledge Match",$X$16:$X$126,TRUE)</f>
        <v>3</v>
      </c>
      <c r="AJ14" s="29">
        <f>IF(AF14&gt;0,AI14/AF14,0)</f>
        <v>0.2</v>
      </c>
    </row>
    <row r="15" spans="1:47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8" t="s">
        <v>698</v>
      </c>
      <c r="Q15" s="9" t="s">
        <v>878</v>
      </c>
      <c r="R15" s="9" t="s">
        <v>879</v>
      </c>
      <c r="S15" s="9" t="s">
        <v>880</v>
      </c>
      <c r="T15" s="9" t="s">
        <v>882</v>
      </c>
      <c r="U15" s="45" t="s">
        <v>883</v>
      </c>
      <c r="V15" s="9" t="s">
        <v>1104</v>
      </c>
      <c r="W15" s="9" t="s">
        <v>1105</v>
      </c>
      <c r="X15" s="9" t="s">
        <v>1106</v>
      </c>
      <c r="Y15" s="9" t="s">
        <v>1107</v>
      </c>
      <c r="Z15" s="9" t="s">
        <v>1108</v>
      </c>
      <c r="AA15" s="9" t="s">
        <v>1109</v>
      </c>
      <c r="AB15" s="9" t="s">
        <v>1110</v>
      </c>
      <c r="AC15" s="9" t="s">
        <v>1111</v>
      </c>
      <c r="AD15" s="10" t="s">
        <v>705</v>
      </c>
    </row>
    <row r="16" spans="1:47" hidden="1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16</v>
      </c>
      <c r="G16" t="s">
        <v>21</v>
      </c>
      <c r="H16" t="s">
        <v>22</v>
      </c>
      <c r="L16" t="s">
        <v>23</v>
      </c>
      <c r="M16" t="s">
        <v>24</v>
      </c>
      <c r="N16" t="s">
        <v>25</v>
      </c>
      <c r="P16" s="11" t="s">
        <v>16</v>
      </c>
      <c r="Q16" s="12" t="s">
        <v>17</v>
      </c>
      <c r="R16" s="12" t="s">
        <v>1285</v>
      </c>
      <c r="S16" s="12" t="b">
        <v>0</v>
      </c>
      <c r="T16" s="12" t="b">
        <v>1</v>
      </c>
      <c r="U16" s="12">
        <v>3</v>
      </c>
      <c r="V16" s="12" t="s">
        <v>18</v>
      </c>
      <c r="W16" s="12" t="s">
        <v>18</v>
      </c>
      <c r="X16" s="12" t="b">
        <v>1</v>
      </c>
      <c r="Y16" s="12" t="b">
        <v>1</v>
      </c>
      <c r="Z16" s="12">
        <v>1</v>
      </c>
      <c r="AA16" s="12">
        <v>0.90549999999999997</v>
      </c>
      <c r="AB16" s="12" t="s">
        <v>1287</v>
      </c>
      <c r="AC16" s="12" t="s">
        <v>1524</v>
      </c>
      <c r="AD16" s="13" t="b">
        <v>1</v>
      </c>
    </row>
    <row r="17" spans="1:38">
      <c r="A17" t="s">
        <v>26</v>
      </c>
      <c r="B17" t="s">
        <v>27</v>
      </c>
      <c r="C17" t="s">
        <v>28</v>
      </c>
      <c r="D17" t="s">
        <v>19</v>
      </c>
      <c r="E17" t="s">
        <v>20</v>
      </c>
      <c r="F17" t="s">
        <v>29</v>
      </c>
      <c r="G17" t="s">
        <v>30</v>
      </c>
      <c r="L17" t="s">
        <v>23</v>
      </c>
      <c r="M17" t="s">
        <v>24</v>
      </c>
      <c r="N17" t="s">
        <v>31</v>
      </c>
      <c r="P17" s="11" t="s">
        <v>29</v>
      </c>
      <c r="Q17" s="12" t="s">
        <v>27</v>
      </c>
      <c r="R17" s="12" t="s">
        <v>27</v>
      </c>
      <c r="S17" s="12" t="b">
        <v>1</v>
      </c>
      <c r="T17" s="12" t="b">
        <v>1</v>
      </c>
      <c r="U17" s="12">
        <v>1</v>
      </c>
      <c r="V17" s="12" t="s">
        <v>28</v>
      </c>
      <c r="W17" s="12" t="s">
        <v>181</v>
      </c>
      <c r="X17" s="12" t="b">
        <v>0</v>
      </c>
      <c r="Y17" s="12" t="b">
        <v>1</v>
      </c>
      <c r="Z17" s="12">
        <v>2</v>
      </c>
      <c r="AA17" s="12">
        <v>0.97519999999999996</v>
      </c>
      <c r="AB17" s="12" t="s">
        <v>1289</v>
      </c>
      <c r="AC17" s="12" t="s">
        <v>1525</v>
      </c>
      <c r="AD17" s="13" t="b">
        <v>1</v>
      </c>
    </row>
    <row r="18" spans="1:38" hidden="1">
      <c r="A18" t="s">
        <v>32</v>
      </c>
      <c r="B18" t="s">
        <v>33</v>
      </c>
      <c r="C18" t="s">
        <v>34</v>
      </c>
      <c r="D18" t="s">
        <v>19</v>
      </c>
      <c r="E18" t="s">
        <v>20</v>
      </c>
      <c r="F18" t="s">
        <v>32</v>
      </c>
      <c r="G18" t="s">
        <v>35</v>
      </c>
      <c r="H18" t="s">
        <v>22</v>
      </c>
      <c r="I18" t="s">
        <v>36</v>
      </c>
      <c r="L18" t="s">
        <v>23</v>
      </c>
      <c r="M18" t="s">
        <v>24</v>
      </c>
      <c r="N18" t="s">
        <v>31</v>
      </c>
      <c r="P18" s="11" t="s">
        <v>32</v>
      </c>
      <c r="Q18" s="12" t="s">
        <v>33</v>
      </c>
      <c r="R18" s="12" t="s">
        <v>33</v>
      </c>
      <c r="S18" s="12" t="b">
        <v>1</v>
      </c>
      <c r="T18" s="12" t="b">
        <v>1</v>
      </c>
      <c r="U18" s="12">
        <v>1</v>
      </c>
      <c r="V18" s="12" t="s">
        <v>34</v>
      </c>
      <c r="W18" s="12" t="s">
        <v>34</v>
      </c>
      <c r="X18" s="12" t="b">
        <v>1</v>
      </c>
      <c r="Y18" s="12" t="b">
        <v>1</v>
      </c>
      <c r="Z18" s="12">
        <v>1</v>
      </c>
      <c r="AA18" s="12">
        <v>1.0841000000000001</v>
      </c>
      <c r="AB18" s="12" t="s">
        <v>1290</v>
      </c>
      <c r="AC18" s="12" t="s">
        <v>1526</v>
      </c>
      <c r="AD18" s="13" t="b">
        <v>1</v>
      </c>
      <c r="AL18" t="s">
        <v>1132</v>
      </c>
    </row>
    <row r="19" spans="1:38" hidden="1">
      <c r="A19" t="s">
        <v>37</v>
      </c>
      <c r="B19" t="s">
        <v>38</v>
      </c>
      <c r="C19" t="s">
        <v>39</v>
      </c>
      <c r="D19" t="s">
        <v>19</v>
      </c>
      <c r="E19" t="s">
        <v>20</v>
      </c>
      <c r="F19" t="s">
        <v>37</v>
      </c>
      <c r="G19" t="s">
        <v>40</v>
      </c>
      <c r="H19" t="s">
        <v>22</v>
      </c>
      <c r="L19" t="s">
        <v>23</v>
      </c>
      <c r="M19" t="s">
        <v>24</v>
      </c>
      <c r="N19" t="s">
        <v>31</v>
      </c>
      <c r="P19" s="11" t="s">
        <v>37</v>
      </c>
      <c r="Q19" s="12" t="s">
        <v>38</v>
      </c>
      <c r="R19" s="12" t="s">
        <v>38</v>
      </c>
      <c r="S19" s="12" t="b">
        <v>1</v>
      </c>
      <c r="T19" s="12" t="b">
        <v>1</v>
      </c>
      <c r="U19" s="12">
        <v>1</v>
      </c>
      <c r="V19" s="12" t="s">
        <v>39</v>
      </c>
      <c r="W19" s="12" t="s">
        <v>39</v>
      </c>
      <c r="X19" s="12" t="b">
        <v>1</v>
      </c>
      <c r="Y19" s="12" t="b">
        <v>1</v>
      </c>
      <c r="Z19" s="12">
        <v>1</v>
      </c>
      <c r="AA19" s="12">
        <v>0.9</v>
      </c>
      <c r="AB19" s="12" t="s">
        <v>989</v>
      </c>
      <c r="AC19" s="12" t="s">
        <v>1527</v>
      </c>
      <c r="AD19" s="13" t="b">
        <v>1</v>
      </c>
    </row>
    <row r="20" spans="1:38" hidden="1">
      <c r="A20" t="s">
        <v>41</v>
      </c>
      <c r="B20" t="s">
        <v>42</v>
      </c>
      <c r="C20" t="s">
        <v>43</v>
      </c>
      <c r="D20" t="s">
        <v>44</v>
      </c>
      <c r="E20" t="s">
        <v>20</v>
      </c>
      <c r="F20" t="s">
        <v>45</v>
      </c>
      <c r="G20" t="s">
        <v>46</v>
      </c>
      <c r="H20" t="s">
        <v>47</v>
      </c>
      <c r="I20" t="s">
        <v>48</v>
      </c>
      <c r="L20" t="s">
        <v>23</v>
      </c>
      <c r="M20" t="s">
        <v>24</v>
      </c>
      <c r="N20" s="2" t="s">
        <v>49</v>
      </c>
      <c r="P20" s="11" t="s">
        <v>45</v>
      </c>
      <c r="Q20" s="12" t="s">
        <v>42</v>
      </c>
      <c r="R20" s="12" t="s">
        <v>42</v>
      </c>
      <c r="S20" s="12" t="b">
        <v>1</v>
      </c>
      <c r="T20" s="12" t="b">
        <v>1</v>
      </c>
      <c r="U20" s="12">
        <v>1</v>
      </c>
      <c r="V20" s="12" t="s">
        <v>43</v>
      </c>
      <c r="W20" s="12" t="s">
        <v>43</v>
      </c>
      <c r="X20" s="12" t="b">
        <v>1</v>
      </c>
      <c r="Y20" s="12" t="b">
        <v>1</v>
      </c>
      <c r="Z20" s="12">
        <v>1</v>
      </c>
      <c r="AA20" s="12">
        <v>0.7712</v>
      </c>
      <c r="AB20" s="12" t="s">
        <v>42</v>
      </c>
      <c r="AC20" s="12" t="s">
        <v>1528</v>
      </c>
      <c r="AD20" s="13" t="b">
        <v>1</v>
      </c>
    </row>
    <row r="21" spans="1:38" hidden="1">
      <c r="A21" t="s">
        <v>41</v>
      </c>
      <c r="B21" t="s">
        <v>42</v>
      </c>
      <c r="C21" t="s">
        <v>50</v>
      </c>
      <c r="D21" t="s">
        <v>19</v>
      </c>
      <c r="E21" t="s">
        <v>20</v>
      </c>
      <c r="F21" t="s">
        <v>45</v>
      </c>
      <c r="G21" t="s">
        <v>51</v>
      </c>
      <c r="H21" t="s">
        <v>22</v>
      </c>
      <c r="I21" t="s">
        <v>52</v>
      </c>
      <c r="L21" t="s">
        <v>23</v>
      </c>
      <c r="M21" t="s">
        <v>24</v>
      </c>
      <c r="N21" s="2" t="s">
        <v>49</v>
      </c>
      <c r="P21" s="11" t="s">
        <v>45</v>
      </c>
      <c r="Q21" s="12" t="s">
        <v>42</v>
      </c>
      <c r="R21" s="12" t="s">
        <v>42</v>
      </c>
      <c r="S21" s="12" t="b">
        <v>1</v>
      </c>
      <c r="T21" s="12" t="b">
        <v>1</v>
      </c>
      <c r="U21" s="12">
        <v>1</v>
      </c>
      <c r="V21" s="12" t="s">
        <v>50</v>
      </c>
      <c r="W21" s="12" t="s">
        <v>50</v>
      </c>
      <c r="X21" s="12" t="b">
        <v>1</v>
      </c>
      <c r="Y21" s="12" t="b">
        <v>1</v>
      </c>
      <c r="Z21" s="12">
        <v>1</v>
      </c>
      <c r="AA21" s="12">
        <v>1.0711999999999999</v>
      </c>
      <c r="AB21" s="12" t="s">
        <v>42</v>
      </c>
      <c r="AC21" s="12" t="s">
        <v>1529</v>
      </c>
      <c r="AD21" s="13" t="b">
        <v>1</v>
      </c>
    </row>
    <row r="22" spans="1:38" hidden="1">
      <c r="A22" t="s">
        <v>53</v>
      </c>
      <c r="B22" t="s">
        <v>54</v>
      </c>
      <c r="C22" t="s">
        <v>55</v>
      </c>
      <c r="D22" t="s">
        <v>19</v>
      </c>
      <c r="E22" t="s">
        <v>20</v>
      </c>
      <c r="F22" t="s">
        <v>53</v>
      </c>
      <c r="G22" t="s">
        <v>56</v>
      </c>
      <c r="H22" t="s">
        <v>22</v>
      </c>
      <c r="I22" t="s">
        <v>57</v>
      </c>
      <c r="L22" t="s">
        <v>23</v>
      </c>
      <c r="M22" t="s">
        <v>24</v>
      </c>
      <c r="N22" t="s">
        <v>25</v>
      </c>
      <c r="P22" s="11" t="s">
        <v>53</v>
      </c>
      <c r="Q22" s="12" t="s">
        <v>54</v>
      </c>
      <c r="R22" s="12" t="s">
        <v>54</v>
      </c>
      <c r="S22" s="12" t="b">
        <v>1</v>
      </c>
      <c r="T22" s="12" t="b">
        <v>1</v>
      </c>
      <c r="U22" s="12">
        <v>1</v>
      </c>
      <c r="V22" s="12" t="s">
        <v>55</v>
      </c>
      <c r="W22" s="12" t="s">
        <v>55</v>
      </c>
      <c r="X22" s="12" t="b">
        <v>1</v>
      </c>
      <c r="Y22" s="12" t="b">
        <v>1</v>
      </c>
      <c r="Z22" s="12">
        <v>1</v>
      </c>
      <c r="AA22" s="12">
        <v>1.1528</v>
      </c>
      <c r="AB22" s="12" t="s">
        <v>1292</v>
      </c>
      <c r="AC22" s="12" t="s">
        <v>1530</v>
      </c>
      <c r="AD22" s="13" t="b">
        <v>1</v>
      </c>
    </row>
    <row r="23" spans="1:38" hidden="1">
      <c r="A23" t="s">
        <v>58</v>
      </c>
      <c r="B23" t="s">
        <v>59</v>
      </c>
      <c r="C23" t="s">
        <v>60</v>
      </c>
      <c r="D23" t="s">
        <v>44</v>
      </c>
      <c r="E23" t="s">
        <v>20</v>
      </c>
      <c r="F23" t="s">
        <v>1132</v>
      </c>
      <c r="G23" t="s">
        <v>62</v>
      </c>
      <c r="H23" t="s">
        <v>47</v>
      </c>
      <c r="L23" t="s">
        <v>23</v>
      </c>
      <c r="M23" t="s">
        <v>24</v>
      </c>
      <c r="N23" t="s">
        <v>25</v>
      </c>
      <c r="P23" s="11" t="s">
        <v>61</v>
      </c>
      <c r="Q23" s="12" t="s">
        <v>59</v>
      </c>
      <c r="R23" s="12" t="s">
        <v>59</v>
      </c>
      <c r="S23" s="12" t="b">
        <v>1</v>
      </c>
      <c r="T23" s="12" t="b">
        <v>1</v>
      </c>
      <c r="U23" s="12">
        <v>1</v>
      </c>
      <c r="V23" s="12" t="s">
        <v>60</v>
      </c>
      <c r="W23" s="12" t="s">
        <v>60</v>
      </c>
      <c r="X23" s="12" t="b">
        <v>1</v>
      </c>
      <c r="Y23" s="12" t="b">
        <v>1</v>
      </c>
      <c r="Z23" s="12">
        <v>1</v>
      </c>
      <c r="AA23" s="12">
        <v>0.84960000000000002</v>
      </c>
      <c r="AB23" s="12" t="s">
        <v>59</v>
      </c>
      <c r="AC23" s="12" t="s">
        <v>1293</v>
      </c>
      <c r="AD23" s="13" t="b">
        <v>1</v>
      </c>
    </row>
    <row r="24" spans="1:38" hidden="1">
      <c r="A24" t="s">
        <v>63</v>
      </c>
      <c r="B24" t="s">
        <v>64</v>
      </c>
      <c r="C24" t="s">
        <v>65</v>
      </c>
      <c r="D24" t="s">
        <v>19</v>
      </c>
      <c r="E24" t="s">
        <v>20</v>
      </c>
      <c r="F24" t="s">
        <v>66</v>
      </c>
      <c r="G24" t="s">
        <v>67</v>
      </c>
      <c r="H24" t="s">
        <v>22</v>
      </c>
      <c r="L24" t="s">
        <v>23</v>
      </c>
      <c r="M24" t="s">
        <v>24</v>
      </c>
      <c r="N24" t="s">
        <v>31</v>
      </c>
      <c r="P24" s="11" t="s">
        <v>66</v>
      </c>
      <c r="Q24" s="12" t="s">
        <v>64</v>
      </c>
      <c r="R24" s="12" t="s">
        <v>64</v>
      </c>
      <c r="S24" s="12" t="b">
        <v>1</v>
      </c>
      <c r="T24" s="12" t="b">
        <v>1</v>
      </c>
      <c r="U24" s="12">
        <v>1</v>
      </c>
      <c r="V24" s="12" t="s">
        <v>65</v>
      </c>
      <c r="W24" s="12" t="s">
        <v>65</v>
      </c>
      <c r="X24" s="12" t="b">
        <v>1</v>
      </c>
      <c r="Y24" s="12" t="b">
        <v>1</v>
      </c>
      <c r="Z24" s="12">
        <v>1</v>
      </c>
      <c r="AA24" s="12">
        <v>1.1831</v>
      </c>
      <c r="AB24" s="12" t="s">
        <v>64</v>
      </c>
      <c r="AC24" s="12" t="s">
        <v>1137</v>
      </c>
      <c r="AD24" s="13" t="b">
        <v>1</v>
      </c>
    </row>
    <row r="25" spans="1:38" hidden="1">
      <c r="A25" t="s">
        <v>68</v>
      </c>
      <c r="B25" t="s">
        <v>69</v>
      </c>
      <c r="C25" t="s">
        <v>70</v>
      </c>
      <c r="D25" t="s">
        <v>19</v>
      </c>
      <c r="E25" t="s">
        <v>20</v>
      </c>
      <c r="F25" t="s">
        <v>71</v>
      </c>
      <c r="G25" t="s">
        <v>72</v>
      </c>
      <c r="H25" t="s">
        <v>22</v>
      </c>
      <c r="I25" t="s">
        <v>73</v>
      </c>
      <c r="L25" t="s">
        <v>23</v>
      </c>
      <c r="M25" t="s">
        <v>24</v>
      </c>
      <c r="N25" t="s">
        <v>25</v>
      </c>
      <c r="P25" s="11" t="s">
        <v>71</v>
      </c>
      <c r="Q25" s="12" t="s">
        <v>69</v>
      </c>
      <c r="R25" s="12" t="s">
        <v>69</v>
      </c>
      <c r="S25" s="12" t="b">
        <v>1</v>
      </c>
      <c r="T25" s="12" t="b">
        <v>1</v>
      </c>
      <c r="U25" s="12">
        <v>1</v>
      </c>
      <c r="V25" s="12" t="s">
        <v>70</v>
      </c>
      <c r="W25" s="12" t="s">
        <v>70</v>
      </c>
      <c r="X25" s="12" t="b">
        <v>1</v>
      </c>
      <c r="Y25" s="12" t="b">
        <v>1</v>
      </c>
      <c r="Z25" s="12">
        <v>1</v>
      </c>
      <c r="AA25" s="12">
        <v>1.1133999999999999</v>
      </c>
      <c r="AB25" s="12" t="s">
        <v>1294</v>
      </c>
      <c r="AC25" s="12" t="s">
        <v>1531</v>
      </c>
      <c r="AD25" s="13" t="b">
        <v>1</v>
      </c>
    </row>
    <row r="26" spans="1:38">
      <c r="A26" t="s">
        <v>68</v>
      </c>
      <c r="B26" t="s">
        <v>69</v>
      </c>
      <c r="C26" t="s">
        <v>70</v>
      </c>
      <c r="D26" t="s">
        <v>19</v>
      </c>
      <c r="E26" t="s">
        <v>20</v>
      </c>
      <c r="F26" t="s">
        <v>74</v>
      </c>
      <c r="G26" t="s">
        <v>75</v>
      </c>
      <c r="H26" t="s">
        <v>22</v>
      </c>
      <c r="I26" t="s">
        <v>73</v>
      </c>
      <c r="L26" t="s">
        <v>23</v>
      </c>
      <c r="M26" t="s">
        <v>24</v>
      </c>
      <c r="N26" t="s">
        <v>31</v>
      </c>
      <c r="P26" s="11" t="s">
        <v>74</v>
      </c>
      <c r="Q26" s="12" t="s">
        <v>69</v>
      </c>
      <c r="R26" s="12" t="s">
        <v>69</v>
      </c>
      <c r="S26" s="12" t="b">
        <v>1</v>
      </c>
      <c r="T26" s="12" t="b">
        <v>1</v>
      </c>
      <c r="U26" s="12">
        <v>1</v>
      </c>
      <c r="V26" s="12" t="s">
        <v>70</v>
      </c>
      <c r="W26" s="12" t="s">
        <v>1532</v>
      </c>
      <c r="X26" s="12" t="b">
        <v>0</v>
      </c>
      <c r="Y26" s="12" t="b">
        <v>1</v>
      </c>
      <c r="Z26" s="12">
        <v>3</v>
      </c>
      <c r="AA26" s="12">
        <v>1.0499000000000001</v>
      </c>
      <c r="AB26" s="12" t="s">
        <v>1295</v>
      </c>
      <c r="AC26" s="12" t="s">
        <v>1533</v>
      </c>
      <c r="AD26" s="13" t="b">
        <v>1</v>
      </c>
    </row>
    <row r="27" spans="1:38">
      <c r="A27" t="s">
        <v>76</v>
      </c>
      <c r="B27" t="s">
        <v>77</v>
      </c>
      <c r="C27" t="s">
        <v>78</v>
      </c>
      <c r="D27" t="s">
        <v>79</v>
      </c>
      <c r="E27" t="s">
        <v>20</v>
      </c>
      <c r="F27" t="s">
        <v>80</v>
      </c>
      <c r="G27" t="s">
        <v>81</v>
      </c>
      <c r="H27" t="s">
        <v>82</v>
      </c>
      <c r="L27" t="s">
        <v>23</v>
      </c>
      <c r="M27" t="s">
        <v>24</v>
      </c>
      <c r="N27" t="s">
        <v>31</v>
      </c>
      <c r="P27" s="11" t="s">
        <v>80</v>
      </c>
      <c r="Q27" s="12" t="s">
        <v>77</v>
      </c>
      <c r="R27" s="12" t="s">
        <v>77</v>
      </c>
      <c r="S27" s="12" t="b">
        <v>1</v>
      </c>
      <c r="T27" s="12" t="b">
        <v>1</v>
      </c>
      <c r="U27" s="12">
        <v>1</v>
      </c>
      <c r="V27" s="12" t="s">
        <v>78</v>
      </c>
      <c r="W27" s="12" t="s">
        <v>1143</v>
      </c>
      <c r="X27" s="12" t="b">
        <v>0</v>
      </c>
      <c r="Y27" s="12" t="b">
        <v>1</v>
      </c>
      <c r="Z27" s="12">
        <v>3</v>
      </c>
      <c r="AA27" s="12">
        <v>1</v>
      </c>
      <c r="AB27" s="12" t="s">
        <v>77</v>
      </c>
      <c r="AC27" s="12" t="s">
        <v>1534</v>
      </c>
      <c r="AD27" s="13" t="b">
        <v>1</v>
      </c>
    </row>
    <row r="28" spans="1:38">
      <c r="A28" t="s">
        <v>83</v>
      </c>
      <c r="B28" t="s">
        <v>84</v>
      </c>
      <c r="C28" t="s">
        <v>85</v>
      </c>
      <c r="D28" t="s">
        <v>79</v>
      </c>
      <c r="E28" t="s">
        <v>20</v>
      </c>
      <c r="F28" t="s">
        <v>86</v>
      </c>
      <c r="G28" t="s">
        <v>87</v>
      </c>
      <c r="H28" t="s">
        <v>82</v>
      </c>
      <c r="L28" t="s">
        <v>23</v>
      </c>
      <c r="M28" t="s">
        <v>24</v>
      </c>
      <c r="N28" t="s">
        <v>25</v>
      </c>
      <c r="P28" s="11" t="s">
        <v>86</v>
      </c>
      <c r="Q28" s="12" t="s">
        <v>84</v>
      </c>
      <c r="R28" s="12" t="s">
        <v>84</v>
      </c>
      <c r="S28" s="12" t="b">
        <v>1</v>
      </c>
      <c r="T28" s="12" t="b">
        <v>1</v>
      </c>
      <c r="U28" s="12">
        <v>1</v>
      </c>
      <c r="V28" s="12" t="s">
        <v>85</v>
      </c>
      <c r="W28" s="12" t="s">
        <v>139</v>
      </c>
      <c r="X28" s="12" t="b">
        <v>0</v>
      </c>
      <c r="Y28" s="12" t="b">
        <v>1</v>
      </c>
      <c r="Z28" s="12">
        <v>3</v>
      </c>
      <c r="AA28" s="12">
        <v>0.89270000000000005</v>
      </c>
      <c r="AB28" s="12" t="s">
        <v>1296</v>
      </c>
      <c r="AC28" s="12" t="s">
        <v>1535</v>
      </c>
      <c r="AD28" s="13" t="b">
        <v>1</v>
      </c>
    </row>
    <row r="29" spans="1:38" hidden="1">
      <c r="A29" t="s">
        <v>88</v>
      </c>
      <c r="B29" t="s">
        <v>89</v>
      </c>
      <c r="C29" t="s">
        <v>90</v>
      </c>
      <c r="D29" t="s">
        <v>19</v>
      </c>
      <c r="E29" t="s">
        <v>20</v>
      </c>
      <c r="F29" t="s">
        <v>91</v>
      </c>
      <c r="G29" t="s">
        <v>92</v>
      </c>
      <c r="H29" t="s">
        <v>22</v>
      </c>
      <c r="I29" t="s">
        <v>93</v>
      </c>
      <c r="L29" t="s">
        <v>23</v>
      </c>
      <c r="M29" t="s">
        <v>24</v>
      </c>
      <c r="N29" t="s">
        <v>31</v>
      </c>
      <c r="P29" s="11" t="s">
        <v>91</v>
      </c>
      <c r="Q29" s="12" t="s">
        <v>89</v>
      </c>
      <c r="R29" s="12" t="s">
        <v>89</v>
      </c>
      <c r="S29" s="12" t="b">
        <v>1</v>
      </c>
      <c r="T29" s="12" t="b">
        <v>1</v>
      </c>
      <c r="U29" s="12">
        <v>1</v>
      </c>
      <c r="V29" s="12" t="s">
        <v>90</v>
      </c>
      <c r="W29" s="12" t="s">
        <v>90</v>
      </c>
      <c r="X29" s="12" t="b">
        <v>1</v>
      </c>
      <c r="Y29" s="12" t="b">
        <v>1</v>
      </c>
      <c r="Z29" s="12">
        <v>1</v>
      </c>
      <c r="AA29" s="12">
        <v>1.2</v>
      </c>
      <c r="AB29" s="12" t="s">
        <v>994</v>
      </c>
      <c r="AC29" s="12" t="s">
        <v>1536</v>
      </c>
      <c r="AD29" s="13" t="b">
        <v>1</v>
      </c>
    </row>
    <row r="30" spans="1:38" hidden="1">
      <c r="A30" t="s">
        <v>94</v>
      </c>
      <c r="B30" t="s">
        <v>95</v>
      </c>
      <c r="C30" t="s">
        <v>96</v>
      </c>
      <c r="D30" t="s">
        <v>44</v>
      </c>
      <c r="E30" t="s">
        <v>20</v>
      </c>
      <c r="F30" t="s">
        <v>94</v>
      </c>
      <c r="G30" t="s">
        <v>97</v>
      </c>
      <c r="H30" t="s">
        <v>47</v>
      </c>
      <c r="I30" t="s">
        <v>98</v>
      </c>
      <c r="L30" t="s">
        <v>23</v>
      </c>
      <c r="M30" t="s">
        <v>24</v>
      </c>
      <c r="N30" t="s">
        <v>25</v>
      </c>
      <c r="P30" s="11" t="s">
        <v>94</v>
      </c>
      <c r="Q30" s="12" t="s">
        <v>95</v>
      </c>
      <c r="R30" s="12" t="s">
        <v>95</v>
      </c>
      <c r="S30" s="12" t="b">
        <v>1</v>
      </c>
      <c r="T30" s="12" t="b">
        <v>1</v>
      </c>
      <c r="U30" s="12">
        <v>1</v>
      </c>
      <c r="V30" s="12" t="s">
        <v>96</v>
      </c>
      <c r="W30" s="12" t="s">
        <v>96</v>
      </c>
      <c r="X30" s="12" t="b">
        <v>1</v>
      </c>
      <c r="Y30" s="12" t="b">
        <v>1</v>
      </c>
      <c r="Z30" s="12">
        <v>1</v>
      </c>
      <c r="AA30" s="12">
        <v>1.2255</v>
      </c>
      <c r="AB30" s="12" t="s">
        <v>1297</v>
      </c>
      <c r="AC30" s="12" t="s">
        <v>1537</v>
      </c>
      <c r="AD30" s="13" t="b">
        <v>1</v>
      </c>
    </row>
    <row r="31" spans="1:38" hidden="1">
      <c r="A31" t="s">
        <v>99</v>
      </c>
      <c r="B31" t="s">
        <v>100</v>
      </c>
      <c r="C31" t="s">
        <v>101</v>
      </c>
      <c r="D31" t="s">
        <v>44</v>
      </c>
      <c r="E31" t="s">
        <v>20</v>
      </c>
      <c r="F31" t="s">
        <v>102</v>
      </c>
      <c r="G31" t="s">
        <v>103</v>
      </c>
      <c r="H31" t="s">
        <v>47</v>
      </c>
      <c r="I31" t="s">
        <v>104</v>
      </c>
      <c r="L31" t="s">
        <v>23</v>
      </c>
      <c r="M31" t="s">
        <v>24</v>
      </c>
      <c r="N31" t="s">
        <v>31</v>
      </c>
      <c r="P31" s="11" t="s">
        <v>102</v>
      </c>
      <c r="Q31" s="12" t="s">
        <v>100</v>
      </c>
      <c r="R31" s="12" t="s">
        <v>100</v>
      </c>
      <c r="S31" s="12" t="b">
        <v>1</v>
      </c>
      <c r="T31" s="12" t="b">
        <v>1</v>
      </c>
      <c r="U31" s="12">
        <v>1</v>
      </c>
      <c r="V31" s="12" t="s">
        <v>101</v>
      </c>
      <c r="W31" s="12" t="s">
        <v>101</v>
      </c>
      <c r="X31" s="12" t="b">
        <v>1</v>
      </c>
      <c r="Y31" s="12" t="b">
        <v>1</v>
      </c>
      <c r="Z31" s="12">
        <v>1</v>
      </c>
      <c r="AA31" s="12">
        <v>1</v>
      </c>
      <c r="AB31" s="12" t="s">
        <v>1298</v>
      </c>
      <c r="AC31" s="12" t="s">
        <v>1538</v>
      </c>
      <c r="AD31" s="13" t="b">
        <v>1</v>
      </c>
    </row>
    <row r="32" spans="1:38" hidden="1">
      <c r="A32" t="s">
        <v>105</v>
      </c>
      <c r="B32" t="s">
        <v>106</v>
      </c>
      <c r="C32" t="s">
        <v>107</v>
      </c>
      <c r="D32" t="s">
        <v>19</v>
      </c>
      <c r="E32" t="s">
        <v>20</v>
      </c>
      <c r="F32" t="s">
        <v>108</v>
      </c>
      <c r="G32" t="s">
        <v>109</v>
      </c>
      <c r="H32" t="s">
        <v>22</v>
      </c>
      <c r="I32" t="s">
        <v>110</v>
      </c>
      <c r="L32" t="s">
        <v>23</v>
      </c>
      <c r="M32" t="s">
        <v>24</v>
      </c>
      <c r="N32" t="s">
        <v>25</v>
      </c>
      <c r="P32" s="11" t="s">
        <v>108</v>
      </c>
      <c r="Q32" s="12" t="s">
        <v>106</v>
      </c>
      <c r="R32" s="12" t="s">
        <v>106</v>
      </c>
      <c r="S32" s="12" t="b">
        <v>1</v>
      </c>
      <c r="T32" s="12" t="b">
        <v>1</v>
      </c>
      <c r="U32" s="12">
        <v>1</v>
      </c>
      <c r="V32" s="12" t="s">
        <v>107</v>
      </c>
      <c r="W32" s="12" t="s">
        <v>107</v>
      </c>
      <c r="X32" s="12" t="b">
        <v>1</v>
      </c>
      <c r="Y32" s="12" t="b">
        <v>1</v>
      </c>
      <c r="Z32" s="12">
        <v>1</v>
      </c>
      <c r="AA32" s="12">
        <v>1.1232</v>
      </c>
      <c r="AB32" s="12" t="s">
        <v>997</v>
      </c>
      <c r="AC32" s="12" t="s">
        <v>1539</v>
      </c>
      <c r="AD32" s="13" t="b">
        <v>1</v>
      </c>
    </row>
    <row r="33" spans="1:30" hidden="1">
      <c r="A33" t="s">
        <v>111</v>
      </c>
      <c r="B33" t="s">
        <v>112</v>
      </c>
      <c r="C33" t="s">
        <v>113</v>
      </c>
      <c r="D33" t="s">
        <v>19</v>
      </c>
      <c r="E33" t="s">
        <v>20</v>
      </c>
      <c r="F33" t="s">
        <v>111</v>
      </c>
      <c r="G33" t="s">
        <v>114</v>
      </c>
      <c r="H33" t="s">
        <v>22</v>
      </c>
      <c r="L33" t="s">
        <v>23</v>
      </c>
      <c r="M33" t="s">
        <v>24</v>
      </c>
      <c r="N33" t="s">
        <v>25</v>
      </c>
      <c r="P33" s="11" t="s">
        <v>111</v>
      </c>
      <c r="Q33" s="12" t="s">
        <v>112</v>
      </c>
      <c r="R33" s="12" t="s">
        <v>112</v>
      </c>
      <c r="S33" s="12" t="b">
        <v>1</v>
      </c>
      <c r="T33" s="12" t="b">
        <v>1</v>
      </c>
      <c r="U33" s="12">
        <v>1</v>
      </c>
      <c r="V33" s="12" t="s">
        <v>113</v>
      </c>
      <c r="W33" s="12" t="s">
        <v>113</v>
      </c>
      <c r="X33" s="12" t="b">
        <v>1</v>
      </c>
      <c r="Y33" s="12" t="b">
        <v>1</v>
      </c>
      <c r="Z33" s="12">
        <v>1</v>
      </c>
      <c r="AA33" s="12">
        <v>0.8589</v>
      </c>
      <c r="AB33" s="12" t="s">
        <v>1299</v>
      </c>
      <c r="AC33" s="12" t="s">
        <v>1540</v>
      </c>
      <c r="AD33" s="13" t="b">
        <v>1</v>
      </c>
    </row>
    <row r="34" spans="1:30" hidden="1">
      <c r="A34" t="s">
        <v>115</v>
      </c>
      <c r="B34" t="s">
        <v>116</v>
      </c>
      <c r="C34" t="s">
        <v>117</v>
      </c>
      <c r="D34" t="s">
        <v>19</v>
      </c>
      <c r="E34" t="s">
        <v>20</v>
      </c>
      <c r="F34" t="s">
        <v>118</v>
      </c>
      <c r="G34" t="s">
        <v>119</v>
      </c>
      <c r="H34" t="s">
        <v>22</v>
      </c>
      <c r="I34" t="s">
        <v>120</v>
      </c>
      <c r="L34" t="s">
        <v>23</v>
      </c>
      <c r="M34" t="s">
        <v>24</v>
      </c>
      <c r="N34" t="s">
        <v>25</v>
      </c>
      <c r="P34" s="11" t="s">
        <v>118</v>
      </c>
      <c r="Q34" s="12" t="s">
        <v>116</v>
      </c>
      <c r="R34" s="12" t="s">
        <v>116</v>
      </c>
      <c r="S34" s="12" t="b">
        <v>1</v>
      </c>
      <c r="T34" s="12" t="b">
        <v>1</v>
      </c>
      <c r="U34" s="12">
        <v>1</v>
      </c>
      <c r="V34" s="12" t="s">
        <v>117</v>
      </c>
      <c r="W34" s="12" t="s">
        <v>117</v>
      </c>
      <c r="X34" s="12" t="b">
        <v>1</v>
      </c>
      <c r="Y34" s="12" t="b">
        <v>1</v>
      </c>
      <c r="Z34" s="12">
        <v>1</v>
      </c>
      <c r="AA34" s="12">
        <v>1.0248999999999999</v>
      </c>
      <c r="AB34" s="12" t="s">
        <v>116</v>
      </c>
      <c r="AC34" s="12" t="s">
        <v>1541</v>
      </c>
      <c r="AD34" s="13" t="b">
        <v>1</v>
      </c>
    </row>
    <row r="35" spans="1:30" hidden="1">
      <c r="A35" t="s">
        <v>115</v>
      </c>
      <c r="B35" t="s">
        <v>116</v>
      </c>
      <c r="C35" t="s">
        <v>117</v>
      </c>
      <c r="D35" t="s">
        <v>19</v>
      </c>
      <c r="E35" t="s">
        <v>20</v>
      </c>
      <c r="F35" t="s">
        <v>121</v>
      </c>
      <c r="G35" t="s">
        <v>122</v>
      </c>
      <c r="H35" t="s">
        <v>22</v>
      </c>
      <c r="I35" t="s">
        <v>123</v>
      </c>
      <c r="L35" t="s">
        <v>23</v>
      </c>
      <c r="M35" t="s">
        <v>24</v>
      </c>
      <c r="N35" t="s">
        <v>31</v>
      </c>
      <c r="P35" s="11" t="s">
        <v>121</v>
      </c>
      <c r="Q35" s="12" t="s">
        <v>116</v>
      </c>
      <c r="R35" s="12" t="s">
        <v>116</v>
      </c>
      <c r="S35" s="12" t="b">
        <v>1</v>
      </c>
      <c r="T35" s="12" t="b">
        <v>1</v>
      </c>
      <c r="U35" s="12">
        <v>1</v>
      </c>
      <c r="V35" s="12" t="s">
        <v>117</v>
      </c>
      <c r="W35" s="12" t="s">
        <v>117</v>
      </c>
      <c r="X35" s="12" t="b">
        <v>1</v>
      </c>
      <c r="Y35" s="12" t="b">
        <v>1</v>
      </c>
      <c r="Z35" s="12">
        <v>1</v>
      </c>
      <c r="AA35" s="12">
        <v>0.89749999999999996</v>
      </c>
      <c r="AB35" s="12" t="s">
        <v>116</v>
      </c>
      <c r="AC35" s="12" t="s">
        <v>1542</v>
      </c>
      <c r="AD35" s="13" t="b">
        <v>1</v>
      </c>
    </row>
    <row r="36" spans="1:30" hidden="1">
      <c r="A36" t="s">
        <v>124</v>
      </c>
      <c r="B36" t="s">
        <v>125</v>
      </c>
      <c r="C36" t="s">
        <v>126</v>
      </c>
      <c r="D36" t="s">
        <v>127</v>
      </c>
      <c r="E36" t="s">
        <v>127</v>
      </c>
      <c r="F36" t="s">
        <v>128</v>
      </c>
      <c r="G36" t="s">
        <v>128</v>
      </c>
      <c r="L36" t="s">
        <v>23</v>
      </c>
      <c r="M36" t="s">
        <v>24</v>
      </c>
      <c r="N36" t="s">
        <v>31</v>
      </c>
      <c r="P36" s="11" t="s">
        <v>128</v>
      </c>
      <c r="Q36" s="12" t="s">
        <v>125</v>
      </c>
      <c r="R36" s="12" t="s">
        <v>125</v>
      </c>
      <c r="S36" s="12" t="b">
        <v>1</v>
      </c>
      <c r="T36" s="12" t="b">
        <v>1</v>
      </c>
      <c r="U36" s="12">
        <v>1</v>
      </c>
      <c r="V36" s="12" t="s">
        <v>126</v>
      </c>
      <c r="W36" s="12" t="s">
        <v>126</v>
      </c>
      <c r="X36" s="12" t="b">
        <v>1</v>
      </c>
      <c r="Y36" s="12" t="b">
        <v>1</v>
      </c>
      <c r="Z36" s="12">
        <v>1</v>
      </c>
      <c r="AA36" s="12">
        <v>0.77990000000000004</v>
      </c>
      <c r="AB36" s="12" t="s">
        <v>1300</v>
      </c>
      <c r="AC36" s="12" t="s">
        <v>1543</v>
      </c>
      <c r="AD36" s="13" t="b">
        <v>1</v>
      </c>
    </row>
    <row r="37" spans="1:30">
      <c r="A37" t="s">
        <v>129</v>
      </c>
      <c r="B37" t="s">
        <v>130</v>
      </c>
      <c r="C37" t="s">
        <v>131</v>
      </c>
      <c r="D37" t="s">
        <v>127</v>
      </c>
      <c r="E37" t="s">
        <v>127</v>
      </c>
      <c r="F37" t="s">
        <v>132</v>
      </c>
      <c r="G37" t="s">
        <v>133</v>
      </c>
      <c r="L37" t="s">
        <v>23</v>
      </c>
      <c r="M37" t="s">
        <v>24</v>
      </c>
      <c r="N37" t="s">
        <v>31</v>
      </c>
      <c r="P37" s="11" t="s">
        <v>132</v>
      </c>
      <c r="Q37" s="12" t="s">
        <v>130</v>
      </c>
      <c r="R37" s="12" t="s">
        <v>130</v>
      </c>
      <c r="S37" s="12" t="b">
        <v>1</v>
      </c>
      <c r="T37" s="12" t="b">
        <v>1</v>
      </c>
      <c r="U37" s="12">
        <v>1</v>
      </c>
      <c r="V37" s="12" t="s">
        <v>131</v>
      </c>
      <c r="W37" s="12" t="s">
        <v>470</v>
      </c>
      <c r="X37" s="12" t="b">
        <v>0</v>
      </c>
      <c r="Y37" s="12" t="b">
        <v>1</v>
      </c>
      <c r="Z37" s="12">
        <v>4</v>
      </c>
      <c r="AA37" s="12">
        <v>1</v>
      </c>
      <c r="AB37" s="12" t="s">
        <v>130</v>
      </c>
      <c r="AC37" s="12" t="s">
        <v>1544</v>
      </c>
      <c r="AD37" s="13" t="b">
        <v>1</v>
      </c>
    </row>
    <row r="38" spans="1:30" hidden="1">
      <c r="A38" t="s">
        <v>134</v>
      </c>
      <c r="B38" t="s">
        <v>135</v>
      </c>
      <c r="C38" t="s">
        <v>136</v>
      </c>
      <c r="D38" t="s">
        <v>19</v>
      </c>
      <c r="E38" t="s">
        <v>20</v>
      </c>
      <c r="F38" t="s">
        <v>134</v>
      </c>
      <c r="G38" t="s">
        <v>137</v>
      </c>
      <c r="H38" t="s">
        <v>22</v>
      </c>
      <c r="L38" t="s">
        <v>23</v>
      </c>
      <c r="M38" t="s">
        <v>24</v>
      </c>
      <c r="N38" t="s">
        <v>25</v>
      </c>
      <c r="P38" s="11" t="s">
        <v>134</v>
      </c>
      <c r="Q38" s="12" t="s">
        <v>135</v>
      </c>
      <c r="R38" s="12" t="s">
        <v>135</v>
      </c>
      <c r="S38" s="12" t="b">
        <v>1</v>
      </c>
      <c r="T38" s="12" t="b">
        <v>1</v>
      </c>
      <c r="U38" s="12">
        <v>1</v>
      </c>
      <c r="V38" s="12" t="s">
        <v>136</v>
      </c>
      <c r="W38" s="12" t="s">
        <v>136</v>
      </c>
      <c r="X38" s="12" t="b">
        <v>1</v>
      </c>
      <c r="Y38" s="12" t="b">
        <v>1</v>
      </c>
      <c r="Z38" s="12">
        <v>1</v>
      </c>
      <c r="AA38" s="12">
        <v>1.1819999999999999</v>
      </c>
      <c r="AB38" s="12" t="s">
        <v>135</v>
      </c>
      <c r="AC38" s="12" t="s">
        <v>631</v>
      </c>
      <c r="AD38" s="13" t="b">
        <v>1</v>
      </c>
    </row>
    <row r="39" spans="1:30">
      <c r="A39" t="s">
        <v>138</v>
      </c>
      <c r="B39" t="s">
        <v>84</v>
      </c>
      <c r="C39" t="s">
        <v>139</v>
      </c>
      <c r="D39" t="s">
        <v>19</v>
      </c>
      <c r="E39" t="s">
        <v>20</v>
      </c>
      <c r="F39" t="s">
        <v>86</v>
      </c>
      <c r="G39" t="s">
        <v>140</v>
      </c>
      <c r="H39" t="s">
        <v>22</v>
      </c>
      <c r="I39" t="s">
        <v>141</v>
      </c>
      <c r="L39" t="s">
        <v>23</v>
      </c>
      <c r="M39" t="s">
        <v>24</v>
      </c>
      <c r="N39" t="s">
        <v>25</v>
      </c>
      <c r="P39" s="11" t="s">
        <v>86</v>
      </c>
      <c r="Q39" s="12" t="s">
        <v>84</v>
      </c>
      <c r="R39" s="12" t="s">
        <v>84</v>
      </c>
      <c r="S39" s="12" t="b">
        <v>1</v>
      </c>
      <c r="T39" s="12" t="b">
        <v>1</v>
      </c>
      <c r="U39" s="12">
        <v>1</v>
      </c>
      <c r="V39" s="12" t="s">
        <v>139</v>
      </c>
      <c r="W39" s="12" t="s">
        <v>473</v>
      </c>
      <c r="X39" s="12" t="b">
        <v>0</v>
      </c>
      <c r="Y39" s="12" t="b">
        <v>1</v>
      </c>
      <c r="Z39" s="12">
        <v>2</v>
      </c>
      <c r="AA39" s="12">
        <v>1.0927</v>
      </c>
      <c r="AB39" s="12" t="s">
        <v>1301</v>
      </c>
      <c r="AC39" s="12" t="s">
        <v>1545</v>
      </c>
      <c r="AD39" s="13" t="b">
        <v>1</v>
      </c>
    </row>
    <row r="40" spans="1:30" hidden="1">
      <c r="A40" t="s">
        <v>142</v>
      </c>
      <c r="B40" t="s">
        <v>143</v>
      </c>
      <c r="C40" t="s">
        <v>144</v>
      </c>
      <c r="D40" t="s">
        <v>19</v>
      </c>
      <c r="E40" t="s">
        <v>20</v>
      </c>
      <c r="F40" t="s">
        <v>145</v>
      </c>
      <c r="G40" t="s">
        <v>146</v>
      </c>
      <c r="H40" t="s">
        <v>22</v>
      </c>
      <c r="L40" t="s">
        <v>23</v>
      </c>
      <c r="M40" t="s">
        <v>24</v>
      </c>
      <c r="N40" t="s">
        <v>25</v>
      </c>
      <c r="P40" s="11" t="s">
        <v>145</v>
      </c>
      <c r="Q40" s="12" t="s">
        <v>143</v>
      </c>
      <c r="R40" s="12" t="s">
        <v>143</v>
      </c>
      <c r="S40" s="12" t="b">
        <v>1</v>
      </c>
      <c r="T40" s="12" t="b">
        <v>1</v>
      </c>
      <c r="U40" s="12">
        <v>1</v>
      </c>
      <c r="V40" s="12" t="s">
        <v>144</v>
      </c>
      <c r="W40" s="12" t="s">
        <v>144</v>
      </c>
      <c r="X40" s="12" t="b">
        <v>1</v>
      </c>
      <c r="Y40" s="12" t="b">
        <v>1</v>
      </c>
      <c r="Z40" s="12">
        <v>1</v>
      </c>
      <c r="AA40" s="12">
        <v>0.81789999999999996</v>
      </c>
      <c r="AB40" s="12" t="s">
        <v>143</v>
      </c>
      <c r="AC40" s="12" t="s">
        <v>1466</v>
      </c>
      <c r="AD40" s="13" t="b">
        <v>1</v>
      </c>
    </row>
    <row r="41" spans="1:30" hidden="1">
      <c r="A41" t="s">
        <v>147</v>
      </c>
      <c r="B41" t="s">
        <v>148</v>
      </c>
      <c r="C41" t="s">
        <v>149</v>
      </c>
      <c r="D41" t="s">
        <v>19</v>
      </c>
      <c r="E41" t="s">
        <v>20</v>
      </c>
      <c r="F41" t="s">
        <v>147</v>
      </c>
      <c r="G41" t="s">
        <v>150</v>
      </c>
      <c r="H41" t="s">
        <v>22</v>
      </c>
      <c r="I41" t="s">
        <v>151</v>
      </c>
      <c r="L41" t="s">
        <v>23</v>
      </c>
      <c r="M41" t="s">
        <v>24</v>
      </c>
      <c r="N41" t="s">
        <v>25</v>
      </c>
      <c r="P41" s="11" t="s">
        <v>147</v>
      </c>
      <c r="Q41" s="12" t="s">
        <v>148</v>
      </c>
      <c r="R41" s="12" t="s">
        <v>148</v>
      </c>
      <c r="S41" s="12" t="b">
        <v>1</v>
      </c>
      <c r="T41" s="12" t="b">
        <v>1</v>
      </c>
      <c r="U41" s="12">
        <v>1</v>
      </c>
      <c r="V41" s="12" t="s">
        <v>149</v>
      </c>
      <c r="W41" s="12" t="s">
        <v>149</v>
      </c>
      <c r="X41" s="12" t="b">
        <v>1</v>
      </c>
      <c r="Y41" s="12" t="b">
        <v>1</v>
      </c>
      <c r="Z41" s="12">
        <v>1</v>
      </c>
      <c r="AA41" s="12">
        <v>0.99450000000000005</v>
      </c>
      <c r="AB41" s="12" t="s">
        <v>1302</v>
      </c>
      <c r="AC41" s="12" t="s">
        <v>1546</v>
      </c>
      <c r="AD41" s="13" t="b">
        <v>1</v>
      </c>
    </row>
    <row r="42" spans="1:30" hidden="1">
      <c r="A42" s="2" t="s">
        <v>152</v>
      </c>
      <c r="B42" s="2" t="s">
        <v>152</v>
      </c>
      <c r="C42" s="2" t="s">
        <v>153</v>
      </c>
      <c r="D42" s="2" t="s">
        <v>19</v>
      </c>
      <c r="E42" s="2" t="s">
        <v>20</v>
      </c>
      <c r="F42" s="2" t="s">
        <v>154</v>
      </c>
      <c r="G42" s="2" t="s">
        <v>155</v>
      </c>
      <c r="H42" s="2" t="s">
        <v>22</v>
      </c>
      <c r="I42" s="2" t="s">
        <v>156</v>
      </c>
      <c r="J42" s="2"/>
      <c r="K42" s="2"/>
      <c r="L42" t="s">
        <v>23</v>
      </c>
      <c r="M42" t="s">
        <v>24</v>
      </c>
      <c r="N42" s="2" t="s">
        <v>49</v>
      </c>
      <c r="P42" s="11" t="s">
        <v>154</v>
      </c>
      <c r="Q42" s="12" t="s">
        <v>152</v>
      </c>
      <c r="R42" s="12"/>
      <c r="S42" s="12" t="b">
        <v>0</v>
      </c>
      <c r="T42" s="12" t="b">
        <v>0</v>
      </c>
      <c r="U42" s="12"/>
      <c r="V42" s="12" t="s">
        <v>153</v>
      </c>
      <c r="W42" s="12"/>
      <c r="X42" s="12" t="b">
        <v>0</v>
      </c>
      <c r="Y42" s="12" t="b">
        <v>0</v>
      </c>
      <c r="Z42" s="12"/>
      <c r="AA42" s="12"/>
      <c r="AB42" s="12"/>
      <c r="AC42" s="12"/>
      <c r="AD42" s="13" t="b">
        <v>0</v>
      </c>
    </row>
    <row r="43" spans="1:30" hidden="1">
      <c r="A43" s="2" t="s">
        <v>157</v>
      </c>
      <c r="B43" s="2" t="s">
        <v>158</v>
      </c>
      <c r="C43" s="2" t="s">
        <v>159</v>
      </c>
      <c r="D43" s="2" t="s">
        <v>19</v>
      </c>
      <c r="E43" s="2" t="s">
        <v>20</v>
      </c>
      <c r="F43" s="2" t="s">
        <v>157</v>
      </c>
      <c r="G43" s="2" t="s">
        <v>160</v>
      </c>
      <c r="H43" s="2" t="s">
        <v>22</v>
      </c>
      <c r="I43" s="2" t="s">
        <v>161</v>
      </c>
      <c r="J43" s="2"/>
      <c r="K43" s="2"/>
      <c r="L43" t="s">
        <v>23</v>
      </c>
      <c r="M43" t="s">
        <v>24</v>
      </c>
      <c r="N43" t="s">
        <v>25</v>
      </c>
      <c r="P43" s="11" t="s">
        <v>157</v>
      </c>
      <c r="Q43" s="12" t="s">
        <v>158</v>
      </c>
      <c r="R43" s="12" t="s">
        <v>158</v>
      </c>
      <c r="S43" s="12" t="b">
        <v>1</v>
      </c>
      <c r="T43" s="12" t="b">
        <v>1</v>
      </c>
      <c r="U43" s="12">
        <v>1</v>
      </c>
      <c r="V43" s="12" t="s">
        <v>159</v>
      </c>
      <c r="W43" s="12" t="s">
        <v>159</v>
      </c>
      <c r="X43" s="12" t="b">
        <v>1</v>
      </c>
      <c r="Y43" s="12" t="b">
        <v>1</v>
      </c>
      <c r="Z43" s="12">
        <v>1</v>
      </c>
      <c r="AA43" s="12">
        <v>1.1376999999999999</v>
      </c>
      <c r="AB43" s="12" t="s">
        <v>1303</v>
      </c>
      <c r="AC43" s="12" t="s">
        <v>1547</v>
      </c>
      <c r="AD43" s="13" t="b">
        <v>1</v>
      </c>
    </row>
    <row r="44" spans="1:30" hidden="1">
      <c r="A44" s="2" t="s">
        <v>162</v>
      </c>
      <c r="B44" s="2" t="s">
        <v>163</v>
      </c>
      <c r="C44" s="2" t="s">
        <v>164</v>
      </c>
      <c r="D44" s="2" t="s">
        <v>19</v>
      </c>
      <c r="E44" s="2" t="s">
        <v>20</v>
      </c>
      <c r="F44" s="2" t="s">
        <v>165</v>
      </c>
      <c r="G44" s="2" t="s">
        <v>166</v>
      </c>
      <c r="H44" s="2" t="s">
        <v>22</v>
      </c>
      <c r="I44" s="2" t="s">
        <v>167</v>
      </c>
      <c r="J44" s="2"/>
      <c r="K44" s="2"/>
      <c r="L44" t="s">
        <v>23</v>
      </c>
      <c r="M44" t="s">
        <v>24</v>
      </c>
      <c r="N44" s="2" t="s">
        <v>49</v>
      </c>
      <c r="P44" s="11" t="s">
        <v>165</v>
      </c>
      <c r="Q44" s="12" t="s">
        <v>163</v>
      </c>
      <c r="R44" s="12" t="s">
        <v>168</v>
      </c>
      <c r="S44" s="12" t="b">
        <v>0</v>
      </c>
      <c r="T44" s="12" t="b">
        <v>0</v>
      </c>
      <c r="U44" s="12"/>
      <c r="V44" s="12" t="s">
        <v>164</v>
      </c>
      <c r="W44" s="12" t="s">
        <v>169</v>
      </c>
      <c r="X44" s="12" t="b">
        <v>0</v>
      </c>
      <c r="Y44" s="12" t="b">
        <v>0</v>
      </c>
      <c r="Z44" s="12"/>
      <c r="AA44" s="12">
        <v>1.2</v>
      </c>
      <c r="AB44" s="12" t="s">
        <v>168</v>
      </c>
      <c r="AC44" s="12" t="s">
        <v>169</v>
      </c>
      <c r="AD44" s="13" t="b">
        <v>1</v>
      </c>
    </row>
    <row r="45" spans="1:30" hidden="1">
      <c r="A45" s="2" t="s">
        <v>165</v>
      </c>
      <c r="B45" s="2" t="s">
        <v>168</v>
      </c>
      <c r="C45" s="2" t="s">
        <v>169</v>
      </c>
      <c r="D45" s="2" t="s">
        <v>19</v>
      </c>
      <c r="E45" s="2" t="s">
        <v>20</v>
      </c>
      <c r="F45" s="2" t="s">
        <v>165</v>
      </c>
      <c r="G45" s="2" t="s">
        <v>170</v>
      </c>
      <c r="H45" s="2" t="s">
        <v>22</v>
      </c>
      <c r="I45" s="2" t="s">
        <v>171</v>
      </c>
      <c r="J45" s="2"/>
      <c r="K45" s="2"/>
      <c r="L45" t="s">
        <v>23</v>
      </c>
      <c r="M45" t="s">
        <v>24</v>
      </c>
      <c r="N45" t="s">
        <v>31</v>
      </c>
      <c r="P45" s="11" t="s">
        <v>165</v>
      </c>
      <c r="Q45" s="12" t="s">
        <v>168</v>
      </c>
      <c r="R45" s="12" t="s">
        <v>168</v>
      </c>
      <c r="S45" s="12" t="b">
        <v>1</v>
      </c>
      <c r="T45" s="12" t="b">
        <v>1</v>
      </c>
      <c r="U45" s="12">
        <v>1</v>
      </c>
      <c r="V45" s="12" t="s">
        <v>169</v>
      </c>
      <c r="W45" s="12" t="s">
        <v>169</v>
      </c>
      <c r="X45" s="12" t="b">
        <v>1</v>
      </c>
      <c r="Y45" s="12" t="b">
        <v>1</v>
      </c>
      <c r="Z45" s="12">
        <v>1</v>
      </c>
      <c r="AA45" s="12">
        <v>1.2</v>
      </c>
      <c r="AB45" s="12" t="s">
        <v>168</v>
      </c>
      <c r="AC45" s="12" t="s">
        <v>169</v>
      </c>
      <c r="AD45" s="13" t="b">
        <v>1</v>
      </c>
    </row>
    <row r="46" spans="1:30" hidden="1">
      <c r="A46" s="2" t="s">
        <v>172</v>
      </c>
      <c r="B46" s="2" t="s">
        <v>173</v>
      </c>
      <c r="C46" s="2" t="s">
        <v>174</v>
      </c>
      <c r="D46" s="2" t="s">
        <v>19</v>
      </c>
      <c r="E46" s="2" t="s">
        <v>20</v>
      </c>
      <c r="F46" s="2" t="s">
        <v>175</v>
      </c>
      <c r="G46" s="2" t="s">
        <v>176</v>
      </c>
      <c r="H46" s="2"/>
      <c r="I46" s="2"/>
      <c r="J46" s="2"/>
      <c r="K46" s="2"/>
      <c r="L46" t="s">
        <v>23</v>
      </c>
      <c r="M46" t="s">
        <v>24</v>
      </c>
      <c r="N46" s="2" t="s">
        <v>49</v>
      </c>
      <c r="P46" s="11" t="s">
        <v>175</v>
      </c>
      <c r="Q46" s="12" t="s">
        <v>173</v>
      </c>
      <c r="R46" s="12" t="s">
        <v>1189</v>
      </c>
      <c r="S46" s="12" t="b">
        <v>0</v>
      </c>
      <c r="T46" s="12" t="b">
        <v>0</v>
      </c>
      <c r="U46" s="12"/>
      <c r="V46" s="12" t="s">
        <v>174</v>
      </c>
      <c r="W46" s="12" t="s">
        <v>1190</v>
      </c>
      <c r="X46" s="12" t="b">
        <v>0</v>
      </c>
      <c r="Y46" s="12" t="b">
        <v>0</v>
      </c>
      <c r="Z46" s="12"/>
      <c r="AA46" s="12">
        <v>0.61980000000000002</v>
      </c>
      <c r="AB46" s="12" t="s">
        <v>1002</v>
      </c>
      <c r="AC46" s="12" t="s">
        <v>1548</v>
      </c>
      <c r="AD46" s="13" t="b">
        <v>1</v>
      </c>
    </row>
    <row r="47" spans="1:30" hidden="1">
      <c r="A47" t="s">
        <v>16</v>
      </c>
      <c r="B47" t="s">
        <v>17</v>
      </c>
      <c r="C47" t="s">
        <v>177</v>
      </c>
      <c r="D47" t="s">
        <v>44</v>
      </c>
      <c r="E47" t="s">
        <v>20</v>
      </c>
      <c r="F47" t="s">
        <v>178</v>
      </c>
      <c r="H47" t="s">
        <v>179</v>
      </c>
      <c r="J47">
        <v>15670</v>
      </c>
      <c r="L47" t="s">
        <v>180</v>
      </c>
      <c r="M47" t="s">
        <v>24</v>
      </c>
      <c r="N47" s="2" t="s">
        <v>49</v>
      </c>
      <c r="P47" s="11" t="s">
        <v>178</v>
      </c>
      <c r="Q47" s="12" t="s">
        <v>17</v>
      </c>
      <c r="R47" s="12" t="s">
        <v>1192</v>
      </c>
      <c r="S47" s="12" t="b">
        <v>0</v>
      </c>
      <c r="T47" s="12" t="b">
        <v>0</v>
      </c>
      <c r="U47" s="12"/>
      <c r="V47" s="12" t="s">
        <v>177</v>
      </c>
      <c r="W47" s="12" t="s">
        <v>43</v>
      </c>
      <c r="X47" s="12" t="b">
        <v>0</v>
      </c>
      <c r="Y47" s="12" t="b">
        <v>0</v>
      </c>
      <c r="Z47" s="12"/>
      <c r="AA47" s="12">
        <v>0.6986</v>
      </c>
      <c r="AB47" s="12" t="s">
        <v>1304</v>
      </c>
      <c r="AC47" s="12" t="s">
        <v>1549</v>
      </c>
      <c r="AD47" s="13" t="b">
        <v>1</v>
      </c>
    </row>
    <row r="48" spans="1:30" hidden="1">
      <c r="A48" t="s">
        <v>26</v>
      </c>
      <c r="B48" t="s">
        <v>27</v>
      </c>
      <c r="C48" t="s">
        <v>181</v>
      </c>
      <c r="D48" t="s">
        <v>127</v>
      </c>
      <c r="E48" t="s">
        <v>127</v>
      </c>
      <c r="F48" t="s">
        <v>182</v>
      </c>
      <c r="H48" t="s">
        <v>183</v>
      </c>
      <c r="J48">
        <v>12867</v>
      </c>
      <c r="L48" t="s">
        <v>180</v>
      </c>
      <c r="M48" t="s">
        <v>24</v>
      </c>
      <c r="N48" t="s">
        <v>31</v>
      </c>
      <c r="P48" s="11" t="s">
        <v>182</v>
      </c>
      <c r="Q48" s="12" t="s">
        <v>27</v>
      </c>
      <c r="R48" s="12" t="s">
        <v>27</v>
      </c>
      <c r="S48" s="12" t="b">
        <v>1</v>
      </c>
      <c r="T48" s="12" t="b">
        <v>1</v>
      </c>
      <c r="U48" s="12">
        <v>1</v>
      </c>
      <c r="V48" s="12" t="s">
        <v>181</v>
      </c>
      <c r="W48" s="12" t="s">
        <v>181</v>
      </c>
      <c r="X48" s="12" t="b">
        <v>1</v>
      </c>
      <c r="Y48" s="12" t="b">
        <v>1</v>
      </c>
      <c r="Z48" s="12">
        <v>1</v>
      </c>
      <c r="AA48" s="12">
        <v>1.1752</v>
      </c>
      <c r="AB48" s="12" t="s">
        <v>1289</v>
      </c>
      <c r="AC48" s="12" t="s">
        <v>1550</v>
      </c>
      <c r="AD48" s="13" t="b">
        <v>1</v>
      </c>
    </row>
    <row r="49" spans="1:30">
      <c r="A49" t="s">
        <v>184</v>
      </c>
      <c r="B49" t="s">
        <v>185</v>
      </c>
      <c r="C49" t="s">
        <v>186</v>
      </c>
      <c r="D49" t="s">
        <v>19</v>
      </c>
      <c r="E49" t="s">
        <v>20</v>
      </c>
      <c r="F49" t="s">
        <v>187</v>
      </c>
      <c r="H49" t="s">
        <v>188</v>
      </c>
      <c r="J49">
        <v>15010</v>
      </c>
      <c r="L49" t="s">
        <v>180</v>
      </c>
      <c r="M49" t="s">
        <v>24</v>
      </c>
      <c r="N49" t="s">
        <v>25</v>
      </c>
      <c r="P49" s="11" t="s">
        <v>187</v>
      </c>
      <c r="Q49" s="12" t="s">
        <v>185</v>
      </c>
      <c r="R49" s="12" t="s">
        <v>185</v>
      </c>
      <c r="S49" s="12" t="b">
        <v>1</v>
      </c>
      <c r="T49" s="12" t="b">
        <v>1</v>
      </c>
      <c r="U49" s="12">
        <v>1</v>
      </c>
      <c r="V49" s="12" t="s">
        <v>186</v>
      </c>
      <c r="W49" s="12" t="s">
        <v>486</v>
      </c>
      <c r="X49" s="12" t="b">
        <v>0</v>
      </c>
      <c r="Y49" s="12" t="b">
        <v>1</v>
      </c>
      <c r="Z49" s="12">
        <v>2</v>
      </c>
      <c r="AA49" s="12">
        <v>1.1178999999999999</v>
      </c>
      <c r="AB49" s="12" t="s">
        <v>185</v>
      </c>
      <c r="AC49" s="12" t="s">
        <v>1551</v>
      </c>
      <c r="AD49" s="13" t="b">
        <v>1</v>
      </c>
    </row>
    <row r="50" spans="1:30" hidden="1">
      <c r="A50" t="s">
        <v>53</v>
      </c>
      <c r="B50" t="s">
        <v>54</v>
      </c>
      <c r="C50" t="s">
        <v>55</v>
      </c>
      <c r="D50" t="s">
        <v>19</v>
      </c>
      <c r="E50" t="s">
        <v>20</v>
      </c>
      <c r="F50" t="s">
        <v>53</v>
      </c>
      <c r="H50" t="s">
        <v>189</v>
      </c>
      <c r="J50">
        <v>5628</v>
      </c>
      <c r="L50" t="s">
        <v>180</v>
      </c>
      <c r="M50" t="s">
        <v>24</v>
      </c>
      <c r="N50" t="s">
        <v>25</v>
      </c>
      <c r="P50" s="11" t="s">
        <v>53</v>
      </c>
      <c r="Q50" s="12" t="s">
        <v>54</v>
      </c>
      <c r="R50" s="12" t="s">
        <v>54</v>
      </c>
      <c r="S50" s="12" t="b">
        <v>1</v>
      </c>
      <c r="T50" s="12" t="b">
        <v>1</v>
      </c>
      <c r="U50" s="12">
        <v>1</v>
      </c>
      <c r="V50" s="12" t="s">
        <v>55</v>
      </c>
      <c r="W50" s="12" t="s">
        <v>55</v>
      </c>
      <c r="X50" s="12" t="b">
        <v>1</v>
      </c>
      <c r="Y50" s="12" t="b">
        <v>1</v>
      </c>
      <c r="Z50" s="12">
        <v>1</v>
      </c>
      <c r="AA50" s="12">
        <v>1.1528</v>
      </c>
      <c r="AB50" s="12" t="s">
        <v>1292</v>
      </c>
      <c r="AC50" s="12" t="s">
        <v>1530</v>
      </c>
      <c r="AD50" s="13" t="b">
        <v>1</v>
      </c>
    </row>
    <row r="51" spans="1:30" hidden="1">
      <c r="A51" t="s">
        <v>190</v>
      </c>
      <c r="B51" t="s">
        <v>191</v>
      </c>
      <c r="C51" t="s">
        <v>192</v>
      </c>
      <c r="D51" t="s">
        <v>19</v>
      </c>
      <c r="E51" t="s">
        <v>20</v>
      </c>
      <c r="F51" t="s">
        <v>193</v>
      </c>
      <c r="H51" t="s">
        <v>22</v>
      </c>
      <c r="J51">
        <v>3130</v>
      </c>
      <c r="L51" t="s">
        <v>180</v>
      </c>
      <c r="M51" t="s">
        <v>24</v>
      </c>
      <c r="N51" t="s">
        <v>25</v>
      </c>
      <c r="P51" s="11" t="s">
        <v>193</v>
      </c>
      <c r="Q51" s="12" t="s">
        <v>191</v>
      </c>
      <c r="R51" s="12" t="s">
        <v>191</v>
      </c>
      <c r="S51" s="12" t="b">
        <v>1</v>
      </c>
      <c r="T51" s="12" t="b">
        <v>1</v>
      </c>
      <c r="U51" s="12">
        <v>1</v>
      </c>
      <c r="V51" s="12" t="s">
        <v>192</v>
      </c>
      <c r="W51" s="12" t="s">
        <v>192</v>
      </c>
      <c r="X51" s="12" t="b">
        <v>1</v>
      </c>
      <c r="Y51" s="12" t="b">
        <v>1</v>
      </c>
      <c r="Z51" s="12">
        <v>1</v>
      </c>
      <c r="AA51" s="12">
        <v>0.9</v>
      </c>
      <c r="AB51" s="12" t="s">
        <v>1004</v>
      </c>
      <c r="AC51" s="12" t="s">
        <v>1552</v>
      </c>
      <c r="AD51" s="13" t="b">
        <v>1</v>
      </c>
    </row>
    <row r="52" spans="1:30">
      <c r="A52" t="s">
        <v>68</v>
      </c>
      <c r="B52" t="s">
        <v>69</v>
      </c>
      <c r="C52" t="s">
        <v>70</v>
      </c>
      <c r="D52" t="s">
        <v>19</v>
      </c>
      <c r="E52" t="s">
        <v>20</v>
      </c>
      <c r="F52" t="s">
        <v>194</v>
      </c>
      <c r="H52" t="s">
        <v>189</v>
      </c>
      <c r="J52">
        <v>3155</v>
      </c>
      <c r="L52" t="s">
        <v>180</v>
      </c>
      <c r="M52" t="s">
        <v>24</v>
      </c>
      <c r="N52" t="s">
        <v>31</v>
      </c>
      <c r="P52" s="11" t="s">
        <v>194</v>
      </c>
      <c r="Q52" s="12" t="s">
        <v>69</v>
      </c>
      <c r="R52" s="12" t="s">
        <v>69</v>
      </c>
      <c r="S52" s="12" t="b">
        <v>1</v>
      </c>
      <c r="T52" s="12" t="b">
        <v>1</v>
      </c>
      <c r="U52" s="12">
        <v>1</v>
      </c>
      <c r="V52" s="12" t="s">
        <v>70</v>
      </c>
      <c r="W52" s="12" t="s">
        <v>1553</v>
      </c>
      <c r="X52" s="12" t="b">
        <v>0</v>
      </c>
      <c r="Y52" s="12" t="b">
        <v>1</v>
      </c>
      <c r="Z52" s="12">
        <v>2</v>
      </c>
      <c r="AA52" s="12">
        <v>1.0499000000000001</v>
      </c>
      <c r="AB52" s="12" t="s">
        <v>1295</v>
      </c>
      <c r="AC52" s="12" t="s">
        <v>1554</v>
      </c>
      <c r="AD52" s="13" t="b">
        <v>1</v>
      </c>
    </row>
    <row r="53" spans="1:30" hidden="1">
      <c r="A53" t="s">
        <v>195</v>
      </c>
      <c r="B53" t="s">
        <v>196</v>
      </c>
      <c r="C53" t="s">
        <v>197</v>
      </c>
      <c r="D53" t="s">
        <v>19</v>
      </c>
      <c r="E53" t="s">
        <v>20</v>
      </c>
      <c r="F53" t="s">
        <v>198</v>
      </c>
      <c r="H53" t="s">
        <v>189</v>
      </c>
      <c r="J53">
        <v>3098</v>
      </c>
      <c r="L53" t="s">
        <v>180</v>
      </c>
      <c r="M53" t="s">
        <v>24</v>
      </c>
      <c r="N53" t="s">
        <v>25</v>
      </c>
      <c r="P53" s="11" t="s">
        <v>198</v>
      </c>
      <c r="Q53" s="12" t="s">
        <v>196</v>
      </c>
      <c r="R53" s="12" t="s">
        <v>335</v>
      </c>
      <c r="S53" s="12" t="b">
        <v>0</v>
      </c>
      <c r="T53" s="12" t="b">
        <v>1</v>
      </c>
      <c r="U53" s="12">
        <v>2</v>
      </c>
      <c r="V53" s="12" t="s">
        <v>197</v>
      </c>
      <c r="W53" s="12" t="s">
        <v>197</v>
      </c>
      <c r="X53" s="12" t="b">
        <v>1</v>
      </c>
      <c r="Y53" s="12" t="b">
        <v>1</v>
      </c>
      <c r="Z53" s="12">
        <v>1</v>
      </c>
      <c r="AA53" s="12">
        <v>0.89019999999999999</v>
      </c>
      <c r="AB53" s="12" t="s">
        <v>1306</v>
      </c>
      <c r="AC53" s="12" t="s">
        <v>1555</v>
      </c>
      <c r="AD53" s="13" t="b">
        <v>1</v>
      </c>
    </row>
    <row r="54" spans="1:30" hidden="1">
      <c r="A54" t="s">
        <v>199</v>
      </c>
      <c r="B54" t="s">
        <v>200</v>
      </c>
      <c r="C54" t="s">
        <v>201</v>
      </c>
      <c r="D54" t="s">
        <v>19</v>
      </c>
      <c r="E54" t="s">
        <v>20</v>
      </c>
      <c r="F54" t="s">
        <v>202</v>
      </c>
      <c r="H54" t="s">
        <v>203</v>
      </c>
      <c r="J54">
        <v>3240</v>
      </c>
      <c r="L54" t="s">
        <v>180</v>
      </c>
      <c r="M54" t="s">
        <v>24</v>
      </c>
      <c r="N54" t="s">
        <v>25</v>
      </c>
      <c r="P54" s="11" t="s">
        <v>202</v>
      </c>
      <c r="Q54" s="12" t="s">
        <v>200</v>
      </c>
      <c r="R54" s="12" t="s">
        <v>200</v>
      </c>
      <c r="S54" s="12" t="b">
        <v>1</v>
      </c>
      <c r="T54" s="12" t="b">
        <v>1</v>
      </c>
      <c r="U54" s="12">
        <v>1</v>
      </c>
      <c r="V54" s="12" t="s">
        <v>201</v>
      </c>
      <c r="W54" s="12" t="s">
        <v>201</v>
      </c>
      <c r="X54" s="12" t="b">
        <v>1</v>
      </c>
      <c r="Y54" s="12" t="b">
        <v>1</v>
      </c>
      <c r="Z54" s="12">
        <v>1</v>
      </c>
      <c r="AA54" s="12">
        <v>1.1129</v>
      </c>
      <c r="AB54" s="12" t="s">
        <v>1308</v>
      </c>
      <c r="AC54" s="12" t="s">
        <v>1556</v>
      </c>
      <c r="AD54" s="13" t="b">
        <v>1</v>
      </c>
    </row>
    <row r="55" spans="1:30" hidden="1">
      <c r="A55" t="s">
        <v>204</v>
      </c>
      <c r="B55" t="s">
        <v>205</v>
      </c>
      <c r="C55" t="s">
        <v>206</v>
      </c>
      <c r="D55" t="s">
        <v>19</v>
      </c>
      <c r="E55" t="s">
        <v>20</v>
      </c>
      <c r="F55" t="s">
        <v>207</v>
      </c>
      <c r="H55" t="s">
        <v>208</v>
      </c>
      <c r="J55">
        <v>10566</v>
      </c>
      <c r="L55" t="s">
        <v>180</v>
      </c>
      <c r="M55" t="s">
        <v>24</v>
      </c>
      <c r="N55" t="s">
        <v>31</v>
      </c>
      <c r="P55" s="11" t="s">
        <v>207</v>
      </c>
      <c r="Q55" s="12" t="s">
        <v>205</v>
      </c>
      <c r="R55" s="12" t="s">
        <v>205</v>
      </c>
      <c r="S55" s="12" t="b">
        <v>1</v>
      </c>
      <c r="T55" s="12" t="b">
        <v>1</v>
      </c>
      <c r="U55" s="12">
        <v>1</v>
      </c>
      <c r="V55" s="12" t="s">
        <v>206</v>
      </c>
      <c r="W55" s="12" t="s">
        <v>206</v>
      </c>
      <c r="X55" s="12" t="b">
        <v>1</v>
      </c>
      <c r="Y55" s="12" t="b">
        <v>1</v>
      </c>
      <c r="Z55" s="12">
        <v>1</v>
      </c>
      <c r="AA55" s="12">
        <v>1.2</v>
      </c>
      <c r="AB55" s="12" t="s">
        <v>1309</v>
      </c>
      <c r="AC55" s="12" t="s">
        <v>1557</v>
      </c>
      <c r="AD55" s="13" t="b">
        <v>1</v>
      </c>
    </row>
    <row r="56" spans="1:30" hidden="1">
      <c r="A56" t="s">
        <v>209</v>
      </c>
      <c r="B56" t="s">
        <v>210</v>
      </c>
      <c r="C56" t="s">
        <v>211</v>
      </c>
      <c r="D56" t="s">
        <v>19</v>
      </c>
      <c r="E56" t="s">
        <v>20</v>
      </c>
      <c r="F56" t="s">
        <v>212</v>
      </c>
      <c r="H56" t="s">
        <v>189</v>
      </c>
      <c r="J56">
        <v>9059</v>
      </c>
      <c r="L56" t="s">
        <v>180</v>
      </c>
      <c r="M56" t="s">
        <v>24</v>
      </c>
      <c r="N56" t="s">
        <v>25</v>
      </c>
      <c r="P56" s="11" t="s">
        <v>212</v>
      </c>
      <c r="Q56" s="12" t="s">
        <v>210</v>
      </c>
      <c r="R56" s="12" t="s">
        <v>210</v>
      </c>
      <c r="S56" s="12" t="b">
        <v>1</v>
      </c>
      <c r="T56" s="12" t="b">
        <v>1</v>
      </c>
      <c r="U56" s="12">
        <v>1</v>
      </c>
      <c r="V56" s="12" t="s">
        <v>211</v>
      </c>
      <c r="W56" s="12" t="s">
        <v>211</v>
      </c>
      <c r="X56" s="12" t="b">
        <v>1</v>
      </c>
      <c r="Y56" s="12" t="b">
        <v>1</v>
      </c>
      <c r="Z56" s="12">
        <v>1</v>
      </c>
      <c r="AA56" s="12">
        <v>1.1357999999999999</v>
      </c>
      <c r="AB56" s="12" t="s">
        <v>210</v>
      </c>
      <c r="AC56" s="12" t="s">
        <v>1477</v>
      </c>
      <c r="AD56" s="13" t="b">
        <v>1</v>
      </c>
    </row>
    <row r="57" spans="1:30" hidden="1">
      <c r="A57" t="s">
        <v>213</v>
      </c>
      <c r="B57" t="s">
        <v>214</v>
      </c>
      <c r="C57" t="s">
        <v>215</v>
      </c>
      <c r="D57" t="s">
        <v>44</v>
      </c>
      <c r="E57" t="s">
        <v>20</v>
      </c>
      <c r="F57" t="s">
        <v>216</v>
      </c>
      <c r="H57" t="s">
        <v>217</v>
      </c>
      <c r="J57">
        <v>10523</v>
      </c>
      <c r="L57" t="s">
        <v>180</v>
      </c>
      <c r="M57" t="s">
        <v>24</v>
      </c>
      <c r="N57" s="2" t="s">
        <v>49</v>
      </c>
      <c r="P57" s="11" t="s">
        <v>216</v>
      </c>
      <c r="Q57" s="12" t="s">
        <v>214</v>
      </c>
      <c r="R57" s="12" t="s">
        <v>1310</v>
      </c>
      <c r="S57" s="12" t="b">
        <v>0</v>
      </c>
      <c r="T57" s="12" t="b">
        <v>0</v>
      </c>
      <c r="U57" s="12"/>
      <c r="V57" s="12" t="s">
        <v>215</v>
      </c>
      <c r="W57" s="12" t="s">
        <v>505</v>
      </c>
      <c r="X57" s="12" t="b">
        <v>0</v>
      </c>
      <c r="Y57" s="12" t="b">
        <v>0</v>
      </c>
      <c r="Z57" s="12"/>
      <c r="AA57" s="12">
        <v>0.9093</v>
      </c>
      <c r="AB57" s="12" t="s">
        <v>1311</v>
      </c>
      <c r="AC57" s="12" t="s">
        <v>1478</v>
      </c>
      <c r="AD57" s="13" t="b">
        <v>1</v>
      </c>
    </row>
    <row r="58" spans="1:30" hidden="1">
      <c r="A58" t="s">
        <v>213</v>
      </c>
      <c r="B58" t="s">
        <v>214</v>
      </c>
      <c r="C58" t="s">
        <v>218</v>
      </c>
      <c r="D58" t="s">
        <v>19</v>
      </c>
      <c r="E58" t="s">
        <v>20</v>
      </c>
      <c r="F58" t="s">
        <v>216</v>
      </c>
      <c r="H58" t="s">
        <v>219</v>
      </c>
      <c r="J58">
        <v>10521</v>
      </c>
      <c r="L58" t="s">
        <v>180</v>
      </c>
      <c r="M58" t="s">
        <v>24</v>
      </c>
      <c r="N58" s="2" t="s">
        <v>49</v>
      </c>
      <c r="P58" s="11" t="s">
        <v>216</v>
      </c>
      <c r="Q58" s="12" t="s">
        <v>214</v>
      </c>
      <c r="R58" s="12" t="s">
        <v>925</v>
      </c>
      <c r="S58" s="12" t="b">
        <v>0</v>
      </c>
      <c r="T58" s="12" t="b">
        <v>0</v>
      </c>
      <c r="U58" s="12"/>
      <c r="V58" s="12" t="s">
        <v>218</v>
      </c>
      <c r="W58" s="12" t="s">
        <v>505</v>
      </c>
      <c r="X58" s="12" t="b">
        <v>0</v>
      </c>
      <c r="Y58" s="12" t="b">
        <v>0</v>
      </c>
      <c r="Z58" s="12"/>
      <c r="AA58" s="12">
        <v>0.82720000000000005</v>
      </c>
      <c r="AB58" s="12" t="s">
        <v>1008</v>
      </c>
      <c r="AC58" s="12" t="s">
        <v>1558</v>
      </c>
      <c r="AD58" s="13" t="b">
        <v>1</v>
      </c>
    </row>
    <row r="59" spans="1:30" hidden="1">
      <c r="A59" t="s">
        <v>220</v>
      </c>
      <c r="B59" t="s">
        <v>221</v>
      </c>
      <c r="C59" t="s">
        <v>222</v>
      </c>
      <c r="D59" t="s">
        <v>19</v>
      </c>
      <c r="E59" t="s">
        <v>20</v>
      </c>
      <c r="F59" t="s">
        <v>223</v>
      </c>
      <c r="H59" t="s">
        <v>22</v>
      </c>
      <c r="J59">
        <v>9770</v>
      </c>
      <c r="L59" t="s">
        <v>180</v>
      </c>
      <c r="M59" t="s">
        <v>24</v>
      </c>
      <c r="N59" s="2" t="s">
        <v>49</v>
      </c>
      <c r="P59" s="11" t="s">
        <v>223</v>
      </c>
      <c r="Q59" s="12" t="s">
        <v>221</v>
      </c>
      <c r="R59" s="12" t="s">
        <v>221</v>
      </c>
      <c r="S59" s="12" t="b">
        <v>1</v>
      </c>
      <c r="T59" s="12" t="b">
        <v>1</v>
      </c>
      <c r="U59" s="12">
        <v>1</v>
      </c>
      <c r="V59" s="12" t="s">
        <v>222</v>
      </c>
      <c r="W59" s="12" t="s">
        <v>508</v>
      </c>
      <c r="X59" s="12" t="b">
        <v>0</v>
      </c>
      <c r="Y59" s="12" t="b">
        <v>1</v>
      </c>
      <c r="Z59" s="12">
        <v>3</v>
      </c>
      <c r="AA59" s="12">
        <v>1.1335</v>
      </c>
      <c r="AB59" s="12" t="s">
        <v>221</v>
      </c>
      <c r="AC59" s="12" t="s">
        <v>1559</v>
      </c>
      <c r="AD59" s="13" t="b">
        <v>1</v>
      </c>
    </row>
    <row r="60" spans="1:30" hidden="1">
      <c r="A60" t="s">
        <v>224</v>
      </c>
      <c r="B60" t="s">
        <v>148</v>
      </c>
      <c r="C60" t="s">
        <v>149</v>
      </c>
      <c r="D60" t="s">
        <v>19</v>
      </c>
      <c r="E60" t="s">
        <v>20</v>
      </c>
      <c r="F60" t="s">
        <v>225</v>
      </c>
      <c r="H60" t="s">
        <v>226</v>
      </c>
      <c r="J60">
        <v>15418</v>
      </c>
      <c r="L60" t="s">
        <v>180</v>
      </c>
      <c r="M60" t="s">
        <v>24</v>
      </c>
      <c r="N60" t="s">
        <v>25</v>
      </c>
      <c r="P60" s="11" t="s">
        <v>225</v>
      </c>
      <c r="Q60" s="12" t="s">
        <v>148</v>
      </c>
      <c r="R60" s="12" t="s">
        <v>148</v>
      </c>
      <c r="S60" s="12" t="b">
        <v>1</v>
      </c>
      <c r="T60" s="12" t="b">
        <v>1</v>
      </c>
      <c r="U60" s="12">
        <v>1</v>
      </c>
      <c r="V60" s="12" t="s">
        <v>149</v>
      </c>
      <c r="W60" s="12" t="s">
        <v>149</v>
      </c>
      <c r="X60" s="12" t="b">
        <v>1</v>
      </c>
      <c r="Y60" s="12" t="b">
        <v>1</v>
      </c>
      <c r="Z60" s="12">
        <v>1</v>
      </c>
      <c r="AA60" s="12">
        <v>0.99450000000000005</v>
      </c>
      <c r="AB60" s="12" t="s">
        <v>1302</v>
      </c>
      <c r="AC60" s="12" t="s">
        <v>1560</v>
      </c>
      <c r="AD60" s="13" t="b">
        <v>1</v>
      </c>
    </row>
    <row r="61" spans="1:30" hidden="1">
      <c r="A61" t="s">
        <v>227</v>
      </c>
      <c r="B61" t="s">
        <v>158</v>
      </c>
      <c r="C61" t="s">
        <v>159</v>
      </c>
      <c r="D61" t="s">
        <v>19</v>
      </c>
      <c r="E61" t="s">
        <v>20</v>
      </c>
      <c r="F61" t="s">
        <v>228</v>
      </c>
      <c r="H61" t="s">
        <v>229</v>
      </c>
      <c r="J61">
        <v>12829</v>
      </c>
      <c r="L61" t="s">
        <v>180</v>
      </c>
      <c r="M61" t="s">
        <v>24</v>
      </c>
      <c r="N61" s="2" t="s">
        <v>49</v>
      </c>
      <c r="P61" s="11" t="s">
        <v>228</v>
      </c>
      <c r="Q61" s="12" t="s">
        <v>158</v>
      </c>
      <c r="R61" s="12" t="s">
        <v>1010</v>
      </c>
      <c r="S61" s="12" t="b">
        <v>0</v>
      </c>
      <c r="T61" s="12" t="b">
        <v>1</v>
      </c>
      <c r="U61" s="12">
        <v>5</v>
      </c>
      <c r="V61" s="12" t="s">
        <v>159</v>
      </c>
      <c r="W61" s="12" t="s">
        <v>822</v>
      </c>
      <c r="X61" s="12" t="b">
        <v>0</v>
      </c>
      <c r="Y61" s="12" t="b">
        <v>1</v>
      </c>
      <c r="Z61" s="12">
        <v>5</v>
      </c>
      <c r="AA61" s="12">
        <v>0.81979999999999997</v>
      </c>
      <c r="AB61" s="12" t="s">
        <v>1313</v>
      </c>
      <c r="AC61" s="12" t="s">
        <v>1561</v>
      </c>
      <c r="AD61" s="13" t="b">
        <v>1</v>
      </c>
    </row>
    <row r="62" spans="1:30" hidden="1">
      <c r="A62" t="s">
        <v>230</v>
      </c>
      <c r="B62" t="s">
        <v>231</v>
      </c>
      <c r="C62" t="s">
        <v>232</v>
      </c>
      <c r="D62" t="s">
        <v>127</v>
      </c>
      <c r="E62" t="s">
        <v>127</v>
      </c>
      <c r="F62" t="s">
        <v>233</v>
      </c>
      <c r="H62" t="s">
        <v>234</v>
      </c>
      <c r="J62">
        <v>23253</v>
      </c>
      <c r="L62" t="s">
        <v>180</v>
      </c>
      <c r="M62" t="s">
        <v>24</v>
      </c>
      <c r="N62" s="2" t="s">
        <v>49</v>
      </c>
      <c r="P62" s="11" t="s">
        <v>233</v>
      </c>
      <c r="Q62" s="12" t="s">
        <v>231</v>
      </c>
      <c r="R62" s="12" t="s">
        <v>233</v>
      </c>
      <c r="S62" s="12" t="b">
        <v>0</v>
      </c>
      <c r="T62" s="12" t="b">
        <v>0</v>
      </c>
      <c r="U62" s="12"/>
      <c r="V62" s="12" t="s">
        <v>232</v>
      </c>
      <c r="W62" s="12" t="s">
        <v>516</v>
      </c>
      <c r="X62" s="12" t="b">
        <v>0</v>
      </c>
      <c r="Y62" s="12" t="b">
        <v>0</v>
      </c>
      <c r="Z62" s="12"/>
      <c r="AA62" s="12">
        <v>0.9</v>
      </c>
      <c r="AB62" s="12" t="s">
        <v>1314</v>
      </c>
      <c r="AC62" s="12" t="s">
        <v>1562</v>
      </c>
      <c r="AD62" s="13" t="b">
        <v>1</v>
      </c>
    </row>
    <row r="63" spans="1:30" hidden="1">
      <c r="A63" t="s">
        <v>235</v>
      </c>
      <c r="B63" t="s">
        <v>236</v>
      </c>
      <c r="C63" t="s">
        <v>237</v>
      </c>
      <c r="D63" t="s">
        <v>19</v>
      </c>
      <c r="E63" t="s">
        <v>20</v>
      </c>
      <c r="F63" t="s">
        <v>238</v>
      </c>
      <c r="H63" t="s">
        <v>239</v>
      </c>
      <c r="J63">
        <v>13567</v>
      </c>
      <c r="L63" t="s">
        <v>180</v>
      </c>
      <c r="M63" t="s">
        <v>24</v>
      </c>
      <c r="N63" s="2" t="s">
        <v>49</v>
      </c>
      <c r="P63" s="11" t="s">
        <v>238</v>
      </c>
      <c r="Q63" s="12" t="s">
        <v>236</v>
      </c>
      <c r="R63" s="12"/>
      <c r="S63" s="12" t="b">
        <v>0</v>
      </c>
      <c r="T63" s="12" t="b">
        <v>0</v>
      </c>
      <c r="U63" s="12"/>
      <c r="V63" s="12" t="s">
        <v>237</v>
      </c>
      <c r="W63" s="12"/>
      <c r="X63" s="12" t="b">
        <v>0</v>
      </c>
      <c r="Y63" s="12" t="b">
        <v>0</v>
      </c>
      <c r="Z63" s="12"/>
      <c r="AA63" s="12"/>
      <c r="AB63" s="12"/>
      <c r="AC63" s="12"/>
      <c r="AD63" s="13" t="b">
        <v>0</v>
      </c>
    </row>
    <row r="64" spans="1:30">
      <c r="A64" t="s">
        <v>240</v>
      </c>
      <c r="B64" t="s">
        <v>241</v>
      </c>
      <c r="C64" t="s">
        <v>242</v>
      </c>
      <c r="D64" t="s">
        <v>19</v>
      </c>
      <c r="E64" t="s">
        <v>20</v>
      </c>
      <c r="F64" t="s">
        <v>243</v>
      </c>
      <c r="H64" t="s">
        <v>244</v>
      </c>
      <c r="J64">
        <v>11807</v>
      </c>
      <c r="L64" t="s">
        <v>180</v>
      </c>
      <c r="M64" t="s">
        <v>24</v>
      </c>
      <c r="N64" t="s">
        <v>31</v>
      </c>
      <c r="P64" s="11" t="s">
        <v>243</v>
      </c>
      <c r="Q64" s="12" t="s">
        <v>241</v>
      </c>
      <c r="R64" s="12" t="s">
        <v>241</v>
      </c>
      <c r="S64" s="12" t="b">
        <v>1</v>
      </c>
      <c r="T64" s="12" t="b">
        <v>1</v>
      </c>
      <c r="U64" s="12">
        <v>1</v>
      </c>
      <c r="V64" s="12" t="s">
        <v>242</v>
      </c>
      <c r="W64" s="12" t="s">
        <v>1219</v>
      </c>
      <c r="X64" s="12" t="b">
        <v>0</v>
      </c>
      <c r="Y64" s="12" t="b">
        <v>1</v>
      </c>
      <c r="Z64" s="12">
        <v>2</v>
      </c>
      <c r="AA64" s="12">
        <v>0.99409999999999998</v>
      </c>
      <c r="AB64" s="12" t="s">
        <v>1013</v>
      </c>
      <c r="AC64" s="12" t="s">
        <v>1563</v>
      </c>
      <c r="AD64" s="13" t="b">
        <v>1</v>
      </c>
    </row>
    <row r="65" spans="1:30">
      <c r="A65" t="s">
        <v>245</v>
      </c>
      <c r="B65" t="s">
        <v>246</v>
      </c>
      <c r="C65" t="s">
        <v>247</v>
      </c>
      <c r="D65" t="s">
        <v>19</v>
      </c>
      <c r="E65" t="s">
        <v>20</v>
      </c>
      <c r="F65" t="s">
        <v>248</v>
      </c>
      <c r="H65" t="s">
        <v>249</v>
      </c>
      <c r="J65">
        <v>14568</v>
      </c>
      <c r="L65" t="s">
        <v>180</v>
      </c>
      <c r="M65" t="s">
        <v>24</v>
      </c>
      <c r="N65" t="s">
        <v>31</v>
      </c>
      <c r="P65" s="11" t="s">
        <v>248</v>
      </c>
      <c r="Q65" s="12" t="s">
        <v>246</v>
      </c>
      <c r="R65" s="12" t="s">
        <v>246</v>
      </c>
      <c r="S65" s="12" t="b">
        <v>1</v>
      </c>
      <c r="T65" s="12" t="b">
        <v>1</v>
      </c>
      <c r="U65" s="12">
        <v>1</v>
      </c>
      <c r="V65" s="12" t="s">
        <v>247</v>
      </c>
      <c r="W65" s="12" t="s">
        <v>524</v>
      </c>
      <c r="X65" s="12" t="b">
        <v>0</v>
      </c>
      <c r="Y65" s="12" t="b">
        <v>1</v>
      </c>
      <c r="Z65" s="12">
        <v>3</v>
      </c>
      <c r="AA65" s="12">
        <v>0.9</v>
      </c>
      <c r="AB65" s="12" t="s">
        <v>1014</v>
      </c>
      <c r="AC65" s="12" t="s">
        <v>1487</v>
      </c>
      <c r="AD65" s="13" t="b">
        <v>1</v>
      </c>
    </row>
    <row r="66" spans="1:30">
      <c r="A66" t="s">
        <v>184</v>
      </c>
      <c r="B66" t="s">
        <v>185</v>
      </c>
      <c r="C66" t="s">
        <v>186</v>
      </c>
      <c r="D66" t="s">
        <v>19</v>
      </c>
      <c r="E66" t="s">
        <v>20</v>
      </c>
      <c r="F66" t="s">
        <v>184</v>
      </c>
      <c r="H66" t="s">
        <v>250</v>
      </c>
      <c r="K66" t="s">
        <v>251</v>
      </c>
      <c r="L66" t="s">
        <v>252</v>
      </c>
      <c r="M66" t="s">
        <v>24</v>
      </c>
      <c r="N66" t="s">
        <v>25</v>
      </c>
      <c r="P66" s="11" t="s">
        <v>184</v>
      </c>
      <c r="Q66" s="12" t="s">
        <v>185</v>
      </c>
      <c r="R66" s="12" t="s">
        <v>185</v>
      </c>
      <c r="S66" s="12" t="b">
        <v>1</v>
      </c>
      <c r="T66" s="12" t="b">
        <v>1</v>
      </c>
      <c r="U66" s="12">
        <v>1</v>
      </c>
      <c r="V66" s="12" t="s">
        <v>186</v>
      </c>
      <c r="W66" s="12" t="s">
        <v>486</v>
      </c>
      <c r="X66" s="12" t="b">
        <v>0</v>
      </c>
      <c r="Y66" s="12" t="b">
        <v>1</v>
      </c>
      <c r="Z66" s="12">
        <v>2</v>
      </c>
      <c r="AA66" s="12">
        <v>1.1178999999999999</v>
      </c>
      <c r="AB66" s="12" t="s">
        <v>185</v>
      </c>
      <c r="AC66" s="12" t="s">
        <v>1551</v>
      </c>
      <c r="AD66" s="13" t="b">
        <v>1</v>
      </c>
    </row>
    <row r="67" spans="1:30" hidden="1">
      <c r="A67" t="s">
        <v>253</v>
      </c>
      <c r="B67" t="s">
        <v>214</v>
      </c>
      <c r="C67" t="s">
        <v>254</v>
      </c>
      <c r="D67" t="s">
        <v>127</v>
      </c>
      <c r="E67" t="s">
        <v>127</v>
      </c>
      <c r="F67" t="s">
        <v>253</v>
      </c>
      <c r="H67" t="s">
        <v>127</v>
      </c>
      <c r="K67">
        <v>1680</v>
      </c>
      <c r="L67" t="s">
        <v>252</v>
      </c>
      <c r="M67" t="s">
        <v>24</v>
      </c>
      <c r="N67" t="s">
        <v>31</v>
      </c>
      <c r="P67" s="11" t="s">
        <v>253</v>
      </c>
      <c r="Q67" s="12" t="s">
        <v>214</v>
      </c>
      <c r="R67" s="12" t="s">
        <v>214</v>
      </c>
      <c r="S67" s="12" t="b">
        <v>1</v>
      </c>
      <c r="T67" s="12" t="b">
        <v>1</v>
      </c>
      <c r="U67" s="12">
        <v>1</v>
      </c>
      <c r="V67" s="12" t="s">
        <v>254</v>
      </c>
      <c r="W67" s="12" t="s">
        <v>254</v>
      </c>
      <c r="X67" s="12" t="b">
        <v>1</v>
      </c>
      <c r="Y67" s="12" t="b">
        <v>1</v>
      </c>
      <c r="Z67" s="12">
        <v>1</v>
      </c>
      <c r="AA67" s="12">
        <v>1.2</v>
      </c>
      <c r="AB67" s="12" t="s">
        <v>1015</v>
      </c>
      <c r="AC67" s="12" t="s">
        <v>1564</v>
      </c>
      <c r="AD67" s="13" t="b">
        <v>1</v>
      </c>
    </row>
    <row r="68" spans="1:30" hidden="1">
      <c r="A68" t="s">
        <v>255</v>
      </c>
      <c r="B68" t="s">
        <v>256</v>
      </c>
      <c r="C68" t="s">
        <v>257</v>
      </c>
      <c r="D68" t="s">
        <v>79</v>
      </c>
      <c r="E68" t="s">
        <v>20</v>
      </c>
      <c r="F68" t="s">
        <v>258</v>
      </c>
      <c r="H68" t="s">
        <v>259</v>
      </c>
      <c r="K68" t="s">
        <v>260</v>
      </c>
      <c r="L68" t="s">
        <v>252</v>
      </c>
      <c r="M68" t="s">
        <v>24</v>
      </c>
      <c r="N68" t="s">
        <v>31</v>
      </c>
      <c r="P68" s="11" t="s">
        <v>1016</v>
      </c>
      <c r="Q68" s="12" t="s">
        <v>256</v>
      </c>
      <c r="R68" s="12" t="s">
        <v>256</v>
      </c>
      <c r="S68" s="12" t="b">
        <v>1</v>
      </c>
      <c r="T68" s="12" t="b">
        <v>1</v>
      </c>
      <c r="U68" s="12">
        <v>1</v>
      </c>
      <c r="V68" s="12" t="s">
        <v>257</v>
      </c>
      <c r="W68" s="12" t="s">
        <v>257</v>
      </c>
      <c r="X68" s="12" t="b">
        <v>1</v>
      </c>
      <c r="Y68" s="12" t="b">
        <v>1</v>
      </c>
      <c r="Z68" s="12">
        <v>1</v>
      </c>
      <c r="AA68" s="12">
        <v>1.2</v>
      </c>
      <c r="AB68" s="12" t="s">
        <v>256</v>
      </c>
      <c r="AC68" s="12" t="s">
        <v>531</v>
      </c>
      <c r="AD68" s="13" t="b">
        <v>1</v>
      </c>
    </row>
    <row r="69" spans="1:30" hidden="1">
      <c r="A69" t="s">
        <v>261</v>
      </c>
      <c r="B69" t="s">
        <v>262</v>
      </c>
      <c r="C69" t="s">
        <v>263</v>
      </c>
      <c r="D69" t="s">
        <v>19</v>
      </c>
      <c r="E69" t="s">
        <v>20</v>
      </c>
      <c r="F69" t="s">
        <v>261</v>
      </c>
      <c r="H69" t="s">
        <v>189</v>
      </c>
      <c r="K69" t="s">
        <v>264</v>
      </c>
      <c r="L69" t="s">
        <v>252</v>
      </c>
      <c r="M69" t="s">
        <v>24</v>
      </c>
      <c r="N69" t="s">
        <v>31</v>
      </c>
      <c r="P69" s="11" t="s">
        <v>261</v>
      </c>
      <c r="Q69" s="12" t="s">
        <v>262</v>
      </c>
      <c r="R69" s="12" t="s">
        <v>262</v>
      </c>
      <c r="S69" s="12" t="b">
        <v>1</v>
      </c>
      <c r="T69" s="12" t="b">
        <v>1</v>
      </c>
      <c r="U69" s="12">
        <v>1</v>
      </c>
      <c r="V69" s="12" t="s">
        <v>263</v>
      </c>
      <c r="W69" s="12" t="s">
        <v>263</v>
      </c>
      <c r="X69" s="12" t="b">
        <v>1</v>
      </c>
      <c r="Y69" s="12" t="b">
        <v>1</v>
      </c>
      <c r="Z69" s="12">
        <v>1</v>
      </c>
      <c r="AA69" s="12">
        <v>1.2</v>
      </c>
      <c r="AB69" s="12" t="s">
        <v>1315</v>
      </c>
      <c r="AC69" s="12" t="s">
        <v>1565</v>
      </c>
      <c r="AD69" s="13" t="b">
        <v>1</v>
      </c>
    </row>
    <row r="70" spans="1:30" hidden="1">
      <c r="A70" t="s">
        <v>265</v>
      </c>
      <c r="B70" t="s">
        <v>266</v>
      </c>
      <c r="C70" t="s">
        <v>267</v>
      </c>
      <c r="D70" t="s">
        <v>19</v>
      </c>
      <c r="E70" t="s">
        <v>20</v>
      </c>
      <c r="F70" t="s">
        <v>268</v>
      </c>
      <c r="H70" t="s">
        <v>269</v>
      </c>
      <c r="K70">
        <v>2207</v>
      </c>
      <c r="L70" t="s">
        <v>252</v>
      </c>
      <c r="M70" t="s">
        <v>24</v>
      </c>
      <c r="N70" s="2" t="s">
        <v>49</v>
      </c>
      <c r="P70" s="11" t="s">
        <v>268</v>
      </c>
      <c r="Q70" s="12" t="s">
        <v>266</v>
      </c>
      <c r="R70" s="12" t="s">
        <v>266</v>
      </c>
      <c r="S70" s="12" t="b">
        <v>1</v>
      </c>
      <c r="T70" s="12" t="b">
        <v>1</v>
      </c>
      <c r="U70" s="12">
        <v>1</v>
      </c>
      <c r="V70" s="12" t="s">
        <v>267</v>
      </c>
      <c r="W70" s="12" t="s">
        <v>267</v>
      </c>
      <c r="X70" s="12" t="b">
        <v>1</v>
      </c>
      <c r="Y70" s="12" t="b">
        <v>1</v>
      </c>
      <c r="Z70" s="12">
        <v>1</v>
      </c>
      <c r="AA70" s="12">
        <v>1.0848</v>
      </c>
      <c r="AB70" s="12" t="s">
        <v>266</v>
      </c>
      <c r="AC70" s="12" t="s">
        <v>1566</v>
      </c>
      <c r="AD70" s="13" t="b">
        <v>1</v>
      </c>
    </row>
    <row r="71" spans="1:30" hidden="1">
      <c r="A71" t="s">
        <v>270</v>
      </c>
      <c r="B71" t="s">
        <v>271</v>
      </c>
      <c r="C71" s="3" t="s">
        <v>272</v>
      </c>
      <c r="D71" t="s">
        <v>79</v>
      </c>
      <c r="E71" t="s">
        <v>20</v>
      </c>
      <c r="F71" t="s">
        <v>273</v>
      </c>
      <c r="H71" t="s">
        <v>259</v>
      </c>
      <c r="K71">
        <v>1915</v>
      </c>
      <c r="L71" t="s">
        <v>252</v>
      </c>
      <c r="M71" t="s">
        <v>24</v>
      </c>
      <c r="N71" t="s">
        <v>25</v>
      </c>
      <c r="P71" s="11" t="s">
        <v>273</v>
      </c>
      <c r="Q71" s="12" t="s">
        <v>271</v>
      </c>
      <c r="R71" s="12" t="s">
        <v>271</v>
      </c>
      <c r="S71" s="12" t="b">
        <v>1</v>
      </c>
      <c r="T71" s="12" t="b">
        <v>1</v>
      </c>
      <c r="U71" s="12">
        <v>1</v>
      </c>
      <c r="V71" s="12" t="s">
        <v>272</v>
      </c>
      <c r="W71" s="12" t="s">
        <v>272</v>
      </c>
      <c r="X71" s="12" t="b">
        <v>1</v>
      </c>
      <c r="Y71" s="12" t="b">
        <v>1</v>
      </c>
      <c r="Z71" s="12">
        <v>1</v>
      </c>
      <c r="AA71" s="12">
        <v>0.85899999999999999</v>
      </c>
      <c r="AB71" s="12" t="s">
        <v>271</v>
      </c>
      <c r="AC71" s="12" t="s">
        <v>1567</v>
      </c>
      <c r="AD71" s="13" t="b">
        <v>1</v>
      </c>
    </row>
    <row r="72" spans="1:30" hidden="1">
      <c r="A72" t="s">
        <v>274</v>
      </c>
      <c r="B72" t="s">
        <v>275</v>
      </c>
      <c r="C72" t="s">
        <v>276</v>
      </c>
      <c r="D72" t="s">
        <v>44</v>
      </c>
      <c r="E72" t="s">
        <v>20</v>
      </c>
      <c r="F72" t="s">
        <v>277</v>
      </c>
      <c r="H72" t="s">
        <v>278</v>
      </c>
      <c r="K72">
        <v>1926</v>
      </c>
      <c r="L72" t="s">
        <v>252</v>
      </c>
      <c r="M72" t="s">
        <v>24</v>
      </c>
      <c r="N72" t="s">
        <v>31</v>
      </c>
      <c r="P72" s="11" t="s">
        <v>277</v>
      </c>
      <c r="Q72" s="12" t="s">
        <v>275</v>
      </c>
      <c r="R72" s="12" t="s">
        <v>275</v>
      </c>
      <c r="S72" s="12" t="b">
        <v>1</v>
      </c>
      <c r="T72" s="12" t="b">
        <v>1</v>
      </c>
      <c r="U72" s="12">
        <v>1</v>
      </c>
      <c r="V72" s="12" t="s">
        <v>276</v>
      </c>
      <c r="W72" s="12" t="s">
        <v>276</v>
      </c>
      <c r="X72" s="12" t="b">
        <v>1</v>
      </c>
      <c r="Y72" s="12" t="b">
        <v>1</v>
      </c>
      <c r="Z72" s="12">
        <v>1</v>
      </c>
      <c r="AA72" s="12">
        <v>1</v>
      </c>
      <c r="AB72" s="12" t="s">
        <v>275</v>
      </c>
      <c r="AC72" s="12" t="s">
        <v>1568</v>
      </c>
      <c r="AD72" s="13" t="b">
        <v>1</v>
      </c>
    </row>
    <row r="73" spans="1:30">
      <c r="A73" t="s">
        <v>279</v>
      </c>
      <c r="B73" t="s">
        <v>280</v>
      </c>
      <c r="C73" t="s">
        <v>281</v>
      </c>
      <c r="D73" t="s">
        <v>79</v>
      </c>
      <c r="E73" t="s">
        <v>20</v>
      </c>
      <c r="F73" t="s">
        <v>282</v>
      </c>
      <c r="H73" t="s">
        <v>82</v>
      </c>
      <c r="K73" t="s">
        <v>283</v>
      </c>
      <c r="L73" t="s">
        <v>252</v>
      </c>
      <c r="M73" t="s">
        <v>24</v>
      </c>
      <c r="N73" t="s">
        <v>25</v>
      </c>
      <c r="P73" s="11" t="s">
        <v>282</v>
      </c>
      <c r="Q73" s="12" t="s">
        <v>280</v>
      </c>
      <c r="R73" s="12" t="s">
        <v>280</v>
      </c>
      <c r="S73" s="12" t="b">
        <v>1</v>
      </c>
      <c r="T73" s="12" t="b">
        <v>1</v>
      </c>
      <c r="U73" s="12">
        <v>1</v>
      </c>
      <c r="V73" s="12" t="s">
        <v>281</v>
      </c>
      <c r="W73" s="12" t="s">
        <v>541</v>
      </c>
      <c r="X73" s="12" t="b">
        <v>0</v>
      </c>
      <c r="Y73" s="12" t="b">
        <v>1</v>
      </c>
      <c r="Z73" s="12">
        <v>2</v>
      </c>
      <c r="AA73" s="12">
        <v>0.91859999999999997</v>
      </c>
      <c r="AB73" s="12" t="s">
        <v>1316</v>
      </c>
      <c r="AC73" s="12" t="s">
        <v>1569</v>
      </c>
      <c r="AD73" s="13" t="b">
        <v>1</v>
      </c>
    </row>
    <row r="74" spans="1:30" hidden="1">
      <c r="A74" t="s">
        <v>284</v>
      </c>
      <c r="B74" t="s">
        <v>285</v>
      </c>
      <c r="C74" t="s">
        <v>286</v>
      </c>
      <c r="D74" t="s">
        <v>127</v>
      </c>
      <c r="E74" t="s">
        <v>127</v>
      </c>
      <c r="F74" t="s">
        <v>284</v>
      </c>
      <c r="H74" t="s">
        <v>127</v>
      </c>
      <c r="K74">
        <v>1766</v>
      </c>
      <c r="L74" t="s">
        <v>252</v>
      </c>
      <c r="M74" t="s">
        <v>24</v>
      </c>
      <c r="N74" t="s">
        <v>25</v>
      </c>
      <c r="P74" s="11" t="s">
        <v>284</v>
      </c>
      <c r="Q74" s="12" t="s">
        <v>285</v>
      </c>
      <c r="R74" s="12" t="s">
        <v>1034</v>
      </c>
      <c r="S74" s="12" t="b">
        <v>0</v>
      </c>
      <c r="T74" s="12" t="b">
        <v>1</v>
      </c>
      <c r="U74" s="12">
        <v>4</v>
      </c>
      <c r="V74" s="12" t="s">
        <v>286</v>
      </c>
      <c r="W74" s="12" t="s">
        <v>286</v>
      </c>
      <c r="X74" s="12" t="b">
        <v>1</v>
      </c>
      <c r="Y74" s="12" t="b">
        <v>1</v>
      </c>
      <c r="Z74" s="12">
        <v>1</v>
      </c>
      <c r="AA74" s="12">
        <v>0.91569999999999996</v>
      </c>
      <c r="AB74" s="12" t="s">
        <v>1317</v>
      </c>
      <c r="AC74" s="12" t="s">
        <v>1570</v>
      </c>
      <c r="AD74" s="13" t="b">
        <v>1</v>
      </c>
    </row>
    <row r="75" spans="1:30">
      <c r="A75" t="s">
        <v>287</v>
      </c>
      <c r="B75" t="s">
        <v>288</v>
      </c>
      <c r="C75" t="s">
        <v>289</v>
      </c>
      <c r="D75" t="s">
        <v>127</v>
      </c>
      <c r="E75" t="s">
        <v>127</v>
      </c>
      <c r="F75" t="s">
        <v>290</v>
      </c>
      <c r="H75" t="s">
        <v>127</v>
      </c>
      <c r="K75">
        <v>1687</v>
      </c>
      <c r="L75" t="s">
        <v>252</v>
      </c>
      <c r="M75" t="s">
        <v>24</v>
      </c>
      <c r="N75" t="s">
        <v>25</v>
      </c>
      <c r="P75" s="11" t="s">
        <v>290</v>
      </c>
      <c r="Q75" s="12" t="s">
        <v>288</v>
      </c>
      <c r="R75" s="12" t="s">
        <v>288</v>
      </c>
      <c r="S75" s="12" t="b">
        <v>1</v>
      </c>
      <c r="T75" s="12" t="b">
        <v>1</v>
      </c>
      <c r="U75" s="12">
        <v>1</v>
      </c>
      <c r="V75" s="12" t="s">
        <v>289</v>
      </c>
      <c r="W75" s="12" t="s">
        <v>546</v>
      </c>
      <c r="X75" s="12" t="b">
        <v>0</v>
      </c>
      <c r="Y75" s="12" t="b">
        <v>1</v>
      </c>
      <c r="Z75" s="12">
        <v>2</v>
      </c>
      <c r="AA75" s="12">
        <v>0.8175</v>
      </c>
      <c r="AB75" s="12" t="s">
        <v>1319</v>
      </c>
      <c r="AC75" s="12" t="s">
        <v>1571</v>
      </c>
      <c r="AD75" s="13" t="b">
        <v>1</v>
      </c>
    </row>
    <row r="76" spans="1:30">
      <c r="A76" t="s">
        <v>291</v>
      </c>
      <c r="B76" t="s">
        <v>292</v>
      </c>
      <c r="C76" t="s">
        <v>293</v>
      </c>
      <c r="D76" t="s">
        <v>19</v>
      </c>
      <c r="E76" t="s">
        <v>20</v>
      </c>
      <c r="F76" t="s">
        <v>291</v>
      </c>
      <c r="H76" t="s">
        <v>294</v>
      </c>
      <c r="K76" t="s">
        <v>295</v>
      </c>
      <c r="L76" t="s">
        <v>252</v>
      </c>
      <c r="M76" t="s">
        <v>24</v>
      </c>
      <c r="N76" t="s">
        <v>25</v>
      </c>
      <c r="P76" s="11" t="s">
        <v>291</v>
      </c>
      <c r="Q76" s="12" t="s">
        <v>292</v>
      </c>
      <c r="R76" s="12" t="s">
        <v>292</v>
      </c>
      <c r="S76" s="12" t="b">
        <v>1</v>
      </c>
      <c r="T76" s="12" t="b">
        <v>1</v>
      </c>
      <c r="U76" s="12">
        <v>1</v>
      </c>
      <c r="V76" s="12" t="s">
        <v>293</v>
      </c>
      <c r="W76" s="12" t="s">
        <v>1496</v>
      </c>
      <c r="X76" s="12" t="b">
        <v>0</v>
      </c>
      <c r="Y76" s="12" t="b">
        <v>0</v>
      </c>
      <c r="Z76" s="12">
        <v>7</v>
      </c>
      <c r="AA76" s="12">
        <v>0.90880000000000005</v>
      </c>
      <c r="AB76" s="12" t="s">
        <v>1320</v>
      </c>
      <c r="AC76" s="12" t="s">
        <v>1572</v>
      </c>
      <c r="AD76" s="13" t="b">
        <v>1</v>
      </c>
    </row>
    <row r="77" spans="1:30" hidden="1">
      <c r="A77" t="s">
        <v>296</v>
      </c>
      <c r="B77" t="s">
        <v>297</v>
      </c>
      <c r="C77" t="s">
        <v>298</v>
      </c>
      <c r="D77" t="s">
        <v>19</v>
      </c>
      <c r="E77" t="s">
        <v>20</v>
      </c>
      <c r="F77" t="s">
        <v>299</v>
      </c>
      <c r="H77" t="s">
        <v>300</v>
      </c>
      <c r="K77" t="s">
        <v>301</v>
      </c>
      <c r="L77" t="s">
        <v>252</v>
      </c>
      <c r="M77" t="s">
        <v>24</v>
      </c>
      <c r="N77" t="s">
        <v>25</v>
      </c>
      <c r="P77" s="11" t="s">
        <v>299</v>
      </c>
      <c r="Q77" s="12" t="s">
        <v>297</v>
      </c>
      <c r="R77" s="12" t="s">
        <v>297</v>
      </c>
      <c r="S77" s="12" t="b">
        <v>1</v>
      </c>
      <c r="T77" s="12" t="b">
        <v>1</v>
      </c>
      <c r="U77" s="12">
        <v>1</v>
      </c>
      <c r="V77" s="12" t="s">
        <v>298</v>
      </c>
      <c r="W77" s="12" t="s">
        <v>298</v>
      </c>
      <c r="X77" s="12" t="b">
        <v>1</v>
      </c>
      <c r="Y77" s="12" t="b">
        <v>1</v>
      </c>
      <c r="Z77" s="12">
        <v>1</v>
      </c>
      <c r="AA77" s="12">
        <v>0.87060000000000004</v>
      </c>
      <c r="AB77" s="12" t="s">
        <v>1022</v>
      </c>
      <c r="AC77" s="12" t="s">
        <v>1573</v>
      </c>
      <c r="AD77" s="13" t="b">
        <v>1</v>
      </c>
    </row>
    <row r="78" spans="1:30">
      <c r="A78" t="s">
        <v>302</v>
      </c>
      <c r="B78" t="s">
        <v>100</v>
      </c>
      <c r="C78" t="s">
        <v>303</v>
      </c>
      <c r="D78" t="s">
        <v>79</v>
      </c>
      <c r="E78" t="s">
        <v>79</v>
      </c>
      <c r="F78" t="s">
        <v>304</v>
      </c>
      <c r="H78" t="s">
        <v>82</v>
      </c>
      <c r="K78" t="s">
        <v>305</v>
      </c>
      <c r="L78" t="s">
        <v>252</v>
      </c>
      <c r="M78" t="s">
        <v>24</v>
      </c>
      <c r="N78" t="s">
        <v>31</v>
      </c>
      <c r="P78" s="11" t="s">
        <v>304</v>
      </c>
      <c r="Q78" s="12" t="s">
        <v>100</v>
      </c>
      <c r="R78" s="12" t="s">
        <v>100</v>
      </c>
      <c r="S78" s="12" t="b">
        <v>1</v>
      </c>
      <c r="T78" s="12" t="b">
        <v>1</v>
      </c>
      <c r="U78" s="12">
        <v>1</v>
      </c>
      <c r="V78" s="12" t="s">
        <v>303</v>
      </c>
      <c r="W78" s="12" t="s">
        <v>670</v>
      </c>
      <c r="X78" s="12" t="b">
        <v>0</v>
      </c>
      <c r="Y78" s="12" t="b">
        <v>1</v>
      </c>
      <c r="Z78" s="12">
        <v>3</v>
      </c>
      <c r="AA78" s="12">
        <v>1</v>
      </c>
      <c r="AB78" s="12" t="s">
        <v>1321</v>
      </c>
      <c r="AC78" s="12" t="s">
        <v>671</v>
      </c>
      <c r="AD78" s="13" t="b">
        <v>1</v>
      </c>
    </row>
    <row r="79" spans="1:30" hidden="1">
      <c r="A79" t="s">
        <v>306</v>
      </c>
      <c r="B79" t="s">
        <v>307</v>
      </c>
      <c r="C79" t="s">
        <v>308</v>
      </c>
      <c r="D79" t="s">
        <v>19</v>
      </c>
      <c r="E79" t="s">
        <v>20</v>
      </c>
      <c r="F79" t="s">
        <v>309</v>
      </c>
      <c r="H79" t="s">
        <v>310</v>
      </c>
      <c r="K79" t="s">
        <v>311</v>
      </c>
      <c r="L79" t="s">
        <v>252</v>
      </c>
      <c r="M79" t="s">
        <v>24</v>
      </c>
      <c r="N79" t="s">
        <v>25</v>
      </c>
      <c r="P79" s="11" t="s">
        <v>309</v>
      </c>
      <c r="Q79" s="12" t="s">
        <v>307</v>
      </c>
      <c r="R79" s="12" t="s">
        <v>307</v>
      </c>
      <c r="S79" s="12" t="b">
        <v>1</v>
      </c>
      <c r="T79" s="12" t="b">
        <v>1</v>
      </c>
      <c r="U79" s="12">
        <v>1</v>
      </c>
      <c r="V79" s="12" t="s">
        <v>308</v>
      </c>
      <c r="W79" s="12" t="s">
        <v>308</v>
      </c>
      <c r="X79" s="12" t="b">
        <v>1</v>
      </c>
      <c r="Y79" s="12" t="b">
        <v>1</v>
      </c>
      <c r="Z79" s="12">
        <v>1</v>
      </c>
      <c r="AA79" s="12">
        <v>0.91790000000000005</v>
      </c>
      <c r="AB79" s="12" t="s">
        <v>307</v>
      </c>
      <c r="AC79" s="12" t="s">
        <v>1574</v>
      </c>
      <c r="AD79" s="13" t="b">
        <v>1</v>
      </c>
    </row>
    <row r="80" spans="1:30">
      <c r="A80" t="s">
        <v>184</v>
      </c>
      <c r="B80" t="s">
        <v>185</v>
      </c>
      <c r="C80" t="s">
        <v>186</v>
      </c>
      <c r="D80" t="s">
        <v>19</v>
      </c>
      <c r="E80" t="s">
        <v>20</v>
      </c>
      <c r="F80" t="s">
        <v>185</v>
      </c>
      <c r="L80" t="s">
        <v>312</v>
      </c>
      <c r="M80" t="s">
        <v>24</v>
      </c>
      <c r="N80" t="s">
        <v>25</v>
      </c>
      <c r="P80" s="11" t="s">
        <v>185</v>
      </c>
      <c r="Q80" s="12" t="s">
        <v>185</v>
      </c>
      <c r="R80" s="12" t="s">
        <v>185</v>
      </c>
      <c r="S80" s="12" t="b">
        <v>1</v>
      </c>
      <c r="T80" s="12" t="b">
        <v>1</v>
      </c>
      <c r="U80" s="12">
        <v>1</v>
      </c>
      <c r="V80" s="12" t="s">
        <v>186</v>
      </c>
      <c r="W80" s="12" t="s">
        <v>558</v>
      </c>
      <c r="X80" s="12" t="b">
        <v>0</v>
      </c>
      <c r="Y80" s="12" t="b">
        <v>1</v>
      </c>
      <c r="Z80" s="12">
        <v>2</v>
      </c>
      <c r="AA80" s="12">
        <v>0.98780000000000001</v>
      </c>
      <c r="AB80" s="12" t="s">
        <v>1023</v>
      </c>
      <c r="AC80" s="12" t="s">
        <v>1575</v>
      </c>
      <c r="AD80" s="13" t="b">
        <v>1</v>
      </c>
    </row>
    <row r="81" spans="1:30">
      <c r="A81" t="s">
        <v>313</v>
      </c>
      <c r="B81" t="s">
        <v>221</v>
      </c>
      <c r="C81" t="s">
        <v>314</v>
      </c>
      <c r="D81" t="s">
        <v>127</v>
      </c>
      <c r="E81" t="s">
        <v>127</v>
      </c>
      <c r="F81" t="s">
        <v>221</v>
      </c>
      <c r="L81" t="s">
        <v>312</v>
      </c>
      <c r="M81" t="s">
        <v>24</v>
      </c>
      <c r="N81" t="s">
        <v>25</v>
      </c>
      <c r="P81" s="11" t="s">
        <v>221</v>
      </c>
      <c r="Q81" s="12" t="s">
        <v>221</v>
      </c>
      <c r="R81" s="12" t="s">
        <v>221</v>
      </c>
      <c r="S81" s="12" t="b">
        <v>1</v>
      </c>
      <c r="T81" s="12" t="b">
        <v>1</v>
      </c>
      <c r="U81" s="12">
        <v>1</v>
      </c>
      <c r="V81" s="12" t="s">
        <v>314</v>
      </c>
      <c r="W81" s="12" t="s">
        <v>560</v>
      </c>
      <c r="X81" s="12" t="b">
        <v>0</v>
      </c>
      <c r="Y81" s="12" t="b">
        <v>1</v>
      </c>
      <c r="Z81" s="12">
        <v>3</v>
      </c>
      <c r="AA81" s="12">
        <v>1</v>
      </c>
      <c r="AB81" s="12" t="s">
        <v>221</v>
      </c>
      <c r="AC81" s="12" t="s">
        <v>561</v>
      </c>
      <c r="AD81" s="13" t="b">
        <v>1</v>
      </c>
    </row>
    <row r="82" spans="1:30">
      <c r="A82" t="s">
        <v>315</v>
      </c>
      <c r="B82" t="s">
        <v>316</v>
      </c>
      <c r="C82" t="s">
        <v>317</v>
      </c>
      <c r="D82" t="s">
        <v>44</v>
      </c>
      <c r="E82" t="s">
        <v>20</v>
      </c>
      <c r="F82" t="s">
        <v>316</v>
      </c>
      <c r="L82" t="s">
        <v>312</v>
      </c>
      <c r="M82" t="s">
        <v>24</v>
      </c>
      <c r="N82" t="s">
        <v>25</v>
      </c>
      <c r="P82" s="11" t="s">
        <v>316</v>
      </c>
      <c r="Q82" s="12" t="s">
        <v>316</v>
      </c>
      <c r="R82" s="12" t="s">
        <v>316</v>
      </c>
      <c r="S82" s="12" t="b">
        <v>1</v>
      </c>
      <c r="T82" s="12" t="b">
        <v>1</v>
      </c>
      <c r="U82" s="12">
        <v>1</v>
      </c>
      <c r="V82" s="12" t="s">
        <v>317</v>
      </c>
      <c r="W82" s="12" t="s">
        <v>562</v>
      </c>
      <c r="X82" s="12" t="b">
        <v>0</v>
      </c>
      <c r="Y82" s="12" t="b">
        <v>1</v>
      </c>
      <c r="Z82" s="12">
        <v>5</v>
      </c>
      <c r="AA82" s="12">
        <v>1</v>
      </c>
      <c r="AB82" s="12" t="s">
        <v>1322</v>
      </c>
      <c r="AC82" s="12" t="s">
        <v>1576</v>
      </c>
      <c r="AD82" s="13" t="b">
        <v>1</v>
      </c>
    </row>
    <row r="83" spans="1:30">
      <c r="A83" t="s">
        <v>318</v>
      </c>
      <c r="B83" t="s">
        <v>316</v>
      </c>
      <c r="C83" t="s">
        <v>319</v>
      </c>
      <c r="D83" t="s">
        <v>127</v>
      </c>
      <c r="E83" t="s">
        <v>127</v>
      </c>
      <c r="F83" t="s">
        <v>316</v>
      </c>
      <c r="L83" t="s">
        <v>312</v>
      </c>
      <c r="M83" t="s">
        <v>24</v>
      </c>
      <c r="N83" t="s">
        <v>25</v>
      </c>
      <c r="P83" s="11" t="s">
        <v>316</v>
      </c>
      <c r="Q83" s="12" t="s">
        <v>316</v>
      </c>
      <c r="R83" s="12" t="s">
        <v>316</v>
      </c>
      <c r="S83" s="12" t="b">
        <v>1</v>
      </c>
      <c r="T83" s="12" t="b">
        <v>1</v>
      </c>
      <c r="U83" s="12">
        <v>1</v>
      </c>
      <c r="V83" s="12" t="s">
        <v>319</v>
      </c>
      <c r="W83" s="12" t="s">
        <v>562</v>
      </c>
      <c r="X83" s="12" t="b">
        <v>0</v>
      </c>
      <c r="Y83" s="12" t="b">
        <v>1</v>
      </c>
      <c r="Z83" s="12">
        <v>3</v>
      </c>
      <c r="AA83" s="12">
        <v>1</v>
      </c>
      <c r="AB83" s="12" t="s">
        <v>1322</v>
      </c>
      <c r="AC83" s="12" t="s">
        <v>1576</v>
      </c>
      <c r="AD83" s="13" t="b">
        <v>1</v>
      </c>
    </row>
    <row r="84" spans="1:30">
      <c r="A84" t="s">
        <v>320</v>
      </c>
      <c r="B84" t="s">
        <v>321</v>
      </c>
      <c r="C84" t="s">
        <v>322</v>
      </c>
      <c r="D84" t="s">
        <v>127</v>
      </c>
      <c r="E84" t="s">
        <v>127</v>
      </c>
      <c r="F84" t="s">
        <v>321</v>
      </c>
      <c r="L84" t="s">
        <v>312</v>
      </c>
      <c r="M84" t="s">
        <v>24</v>
      </c>
      <c r="N84" t="s">
        <v>25</v>
      </c>
      <c r="P84" s="11" t="s">
        <v>321</v>
      </c>
      <c r="Q84" s="12" t="s">
        <v>321</v>
      </c>
      <c r="R84" s="12" t="s">
        <v>321</v>
      </c>
      <c r="S84" s="12" t="b">
        <v>1</v>
      </c>
      <c r="T84" s="12" t="b">
        <v>1</v>
      </c>
      <c r="U84" s="12">
        <v>1</v>
      </c>
      <c r="V84" s="12" t="s">
        <v>322</v>
      </c>
      <c r="W84" s="12" t="s">
        <v>675</v>
      </c>
      <c r="X84" s="12" t="b">
        <v>0</v>
      </c>
      <c r="Y84" s="12" t="b">
        <v>1</v>
      </c>
      <c r="Z84" s="12">
        <v>2</v>
      </c>
      <c r="AA84" s="12">
        <v>1</v>
      </c>
      <c r="AB84" s="12" t="s">
        <v>1323</v>
      </c>
      <c r="AC84" s="12" t="s">
        <v>1577</v>
      </c>
      <c r="AD84" s="13" t="b">
        <v>1</v>
      </c>
    </row>
    <row r="85" spans="1:30" hidden="1">
      <c r="A85" t="s">
        <v>324</v>
      </c>
      <c r="B85" t="s">
        <v>148</v>
      </c>
      <c r="C85" t="s">
        <v>325</v>
      </c>
      <c r="D85" t="s">
        <v>79</v>
      </c>
      <c r="E85" t="s">
        <v>20</v>
      </c>
      <c r="F85" t="s">
        <v>148</v>
      </c>
      <c r="L85" t="s">
        <v>312</v>
      </c>
      <c r="M85" t="s">
        <v>24</v>
      </c>
      <c r="N85" t="s">
        <v>25</v>
      </c>
      <c r="P85" s="11" t="s">
        <v>148</v>
      </c>
      <c r="Q85" s="12" t="s">
        <v>148</v>
      </c>
      <c r="R85" s="12" t="s">
        <v>148</v>
      </c>
      <c r="S85" s="12" t="b">
        <v>1</v>
      </c>
      <c r="T85" s="12" t="b">
        <v>1</v>
      </c>
      <c r="U85" s="12">
        <v>1</v>
      </c>
      <c r="V85" s="12" t="s">
        <v>325</v>
      </c>
      <c r="W85" s="12" t="s">
        <v>325</v>
      </c>
      <c r="X85" s="12" t="b">
        <v>1</v>
      </c>
      <c r="Y85" s="12" t="b">
        <v>1</v>
      </c>
      <c r="Z85" s="12">
        <v>1</v>
      </c>
      <c r="AA85" s="12">
        <v>0.89759999999999995</v>
      </c>
      <c r="AB85" s="12" t="s">
        <v>1026</v>
      </c>
      <c r="AC85" s="12" t="s">
        <v>1578</v>
      </c>
      <c r="AD85" s="13" t="b">
        <v>1</v>
      </c>
    </row>
    <row r="86" spans="1:30">
      <c r="A86" t="s">
        <v>326</v>
      </c>
      <c r="B86" t="s">
        <v>100</v>
      </c>
      <c r="C86" t="s">
        <v>101</v>
      </c>
      <c r="D86" t="s">
        <v>44</v>
      </c>
      <c r="E86" t="s">
        <v>20</v>
      </c>
      <c r="F86" t="s">
        <v>100</v>
      </c>
      <c r="L86" t="s">
        <v>312</v>
      </c>
      <c r="M86" t="s">
        <v>24</v>
      </c>
      <c r="N86" t="s">
        <v>25</v>
      </c>
      <c r="P86" s="11" t="s">
        <v>100</v>
      </c>
      <c r="Q86" s="12" t="s">
        <v>100</v>
      </c>
      <c r="R86" s="12" t="s">
        <v>100</v>
      </c>
      <c r="S86" s="12" t="b">
        <v>1</v>
      </c>
      <c r="T86" s="12" t="b">
        <v>1</v>
      </c>
      <c r="U86" s="12">
        <v>1</v>
      </c>
      <c r="V86" s="12" t="s">
        <v>101</v>
      </c>
      <c r="W86" s="12" t="s">
        <v>303</v>
      </c>
      <c r="X86" s="12" t="b">
        <v>0</v>
      </c>
      <c r="Y86" s="12" t="b">
        <v>1</v>
      </c>
      <c r="Z86" s="12">
        <v>4</v>
      </c>
      <c r="AA86" s="12">
        <v>1</v>
      </c>
      <c r="AB86" s="12" t="s">
        <v>1324</v>
      </c>
      <c r="AC86" s="12" t="s">
        <v>566</v>
      </c>
      <c r="AD86" s="13" t="b">
        <v>1</v>
      </c>
    </row>
    <row r="87" spans="1:30">
      <c r="A87" t="s">
        <v>199</v>
      </c>
      <c r="B87" t="s">
        <v>200</v>
      </c>
      <c r="C87" t="s">
        <v>201</v>
      </c>
      <c r="D87" t="s">
        <v>19</v>
      </c>
      <c r="E87" t="s">
        <v>20</v>
      </c>
      <c r="F87" t="s">
        <v>200</v>
      </c>
      <c r="L87" t="s">
        <v>312</v>
      </c>
      <c r="M87" t="s">
        <v>24</v>
      </c>
      <c r="N87" t="s">
        <v>25</v>
      </c>
      <c r="P87" s="11" t="s">
        <v>200</v>
      </c>
      <c r="Q87" s="12" t="s">
        <v>200</v>
      </c>
      <c r="R87" s="12" t="s">
        <v>200</v>
      </c>
      <c r="S87" s="12" t="b">
        <v>1</v>
      </c>
      <c r="T87" s="12" t="b">
        <v>1</v>
      </c>
      <c r="U87" s="12">
        <v>1</v>
      </c>
      <c r="V87" s="12" t="s">
        <v>201</v>
      </c>
      <c r="W87" s="12" t="s">
        <v>567</v>
      </c>
      <c r="X87" s="12" t="b">
        <v>0</v>
      </c>
      <c r="Y87" s="12" t="b">
        <v>1</v>
      </c>
      <c r="Z87" s="12">
        <v>3</v>
      </c>
      <c r="AA87" s="12">
        <v>0.95199999999999996</v>
      </c>
      <c r="AB87" s="12" t="s">
        <v>200</v>
      </c>
      <c r="AC87" s="12" t="s">
        <v>568</v>
      </c>
      <c r="AD87" s="13" t="b">
        <v>1</v>
      </c>
    </row>
    <row r="88" spans="1:30">
      <c r="A88" t="s">
        <v>327</v>
      </c>
      <c r="B88" t="s">
        <v>328</v>
      </c>
      <c r="C88" t="s">
        <v>329</v>
      </c>
      <c r="D88" t="s">
        <v>127</v>
      </c>
      <c r="E88" t="s">
        <v>127</v>
      </c>
      <c r="F88" t="s">
        <v>328</v>
      </c>
      <c r="L88" t="s">
        <v>312</v>
      </c>
      <c r="M88" t="s">
        <v>24</v>
      </c>
      <c r="N88" t="s">
        <v>25</v>
      </c>
      <c r="P88" s="11" t="s">
        <v>328</v>
      </c>
      <c r="Q88" s="12" t="s">
        <v>328</v>
      </c>
      <c r="R88" s="12" t="s">
        <v>328</v>
      </c>
      <c r="S88" s="12" t="b">
        <v>1</v>
      </c>
      <c r="T88" s="12" t="b">
        <v>1</v>
      </c>
      <c r="U88" s="12">
        <v>1</v>
      </c>
      <c r="V88" s="12" t="s">
        <v>329</v>
      </c>
      <c r="W88" s="12" t="s">
        <v>569</v>
      </c>
      <c r="X88" s="12" t="b">
        <v>0</v>
      </c>
      <c r="Y88" s="12" t="b">
        <v>1</v>
      </c>
      <c r="Z88" s="12">
        <v>3</v>
      </c>
      <c r="AA88" s="12">
        <v>1</v>
      </c>
      <c r="AB88" s="12" t="s">
        <v>328</v>
      </c>
      <c r="AC88" s="12" t="s">
        <v>570</v>
      </c>
      <c r="AD88" s="13" t="b">
        <v>1</v>
      </c>
    </row>
    <row r="89" spans="1:30">
      <c r="A89" t="s">
        <v>330</v>
      </c>
      <c r="B89" t="s">
        <v>331</v>
      </c>
      <c r="C89" t="s">
        <v>332</v>
      </c>
      <c r="D89" t="s">
        <v>79</v>
      </c>
      <c r="E89" t="s">
        <v>20</v>
      </c>
      <c r="G89" t="s">
        <v>330</v>
      </c>
      <c r="L89" t="s">
        <v>334</v>
      </c>
      <c r="M89" t="s">
        <v>24</v>
      </c>
      <c r="N89" t="s">
        <v>31</v>
      </c>
      <c r="P89" s="11" t="s">
        <v>333</v>
      </c>
      <c r="Q89" s="12" t="s">
        <v>331</v>
      </c>
      <c r="R89" s="12" t="s">
        <v>331</v>
      </c>
      <c r="S89" s="12" t="b">
        <v>1</v>
      </c>
      <c r="T89" s="12" t="b">
        <v>1</v>
      </c>
      <c r="U89" s="12">
        <v>1</v>
      </c>
      <c r="V89" s="12" t="s">
        <v>332</v>
      </c>
      <c r="W89" s="12" t="s">
        <v>769</v>
      </c>
      <c r="X89" s="12" t="b">
        <v>0</v>
      </c>
      <c r="Y89" s="12" t="b">
        <v>1</v>
      </c>
      <c r="Z89" s="12">
        <v>3</v>
      </c>
      <c r="AA89" s="12">
        <v>0.93659999999999999</v>
      </c>
      <c r="AB89" s="12" t="s">
        <v>331</v>
      </c>
      <c r="AC89" s="12" t="s">
        <v>1579</v>
      </c>
      <c r="AD89" s="13" t="b">
        <v>1</v>
      </c>
    </row>
    <row r="90" spans="1:30" hidden="1">
      <c r="A90" t="s">
        <v>335</v>
      </c>
      <c r="B90" t="s">
        <v>335</v>
      </c>
      <c r="C90" t="s">
        <v>336</v>
      </c>
      <c r="D90" t="s">
        <v>79</v>
      </c>
      <c r="E90" t="s">
        <v>20</v>
      </c>
      <c r="G90" t="s">
        <v>338</v>
      </c>
      <c r="L90" t="s">
        <v>334</v>
      </c>
      <c r="M90" t="s">
        <v>24</v>
      </c>
      <c r="N90" t="s">
        <v>31</v>
      </c>
      <c r="P90" s="11" t="s">
        <v>337</v>
      </c>
      <c r="Q90" s="12" t="s">
        <v>335</v>
      </c>
      <c r="R90" s="12" t="s">
        <v>335</v>
      </c>
      <c r="S90" s="12" t="b">
        <v>1</v>
      </c>
      <c r="T90" s="12" t="b">
        <v>1</v>
      </c>
      <c r="U90" s="12">
        <v>1</v>
      </c>
      <c r="V90" s="12" t="s">
        <v>336</v>
      </c>
      <c r="W90" s="12" t="s">
        <v>336</v>
      </c>
      <c r="X90" s="12" t="b">
        <v>1</v>
      </c>
      <c r="Y90" s="12" t="b">
        <v>1</v>
      </c>
      <c r="Z90" s="12">
        <v>1</v>
      </c>
      <c r="AA90" s="12">
        <v>1</v>
      </c>
      <c r="AB90" s="12" t="s">
        <v>1580</v>
      </c>
      <c r="AC90" s="12" t="s">
        <v>1581</v>
      </c>
      <c r="AD90" s="13" t="b">
        <v>1</v>
      </c>
    </row>
    <row r="91" spans="1:30" hidden="1">
      <c r="A91" t="s">
        <v>339</v>
      </c>
      <c r="B91" t="s">
        <v>340</v>
      </c>
      <c r="C91" t="s">
        <v>341</v>
      </c>
      <c r="D91" t="s">
        <v>127</v>
      </c>
      <c r="E91" t="s">
        <v>127</v>
      </c>
      <c r="G91" t="s">
        <v>342</v>
      </c>
      <c r="L91" t="s">
        <v>334</v>
      </c>
      <c r="M91" t="s">
        <v>24</v>
      </c>
      <c r="N91" t="s">
        <v>31</v>
      </c>
      <c r="P91" s="11" t="s">
        <v>339</v>
      </c>
      <c r="Q91" s="12" t="s">
        <v>340</v>
      </c>
      <c r="R91" s="12" t="s">
        <v>340</v>
      </c>
      <c r="S91" s="12" t="b">
        <v>1</v>
      </c>
      <c r="T91" s="12" t="b">
        <v>1</v>
      </c>
      <c r="U91" s="12">
        <v>1</v>
      </c>
      <c r="V91" s="12" t="s">
        <v>341</v>
      </c>
      <c r="W91" s="12" t="s">
        <v>341</v>
      </c>
      <c r="X91" s="12" t="b">
        <v>1</v>
      </c>
      <c r="Y91" s="12" t="b">
        <v>1</v>
      </c>
      <c r="Z91" s="12">
        <v>1</v>
      </c>
      <c r="AA91" s="12">
        <v>1</v>
      </c>
      <c r="AB91" s="12" t="s">
        <v>340</v>
      </c>
      <c r="AC91" s="12" t="s">
        <v>341</v>
      </c>
      <c r="AD91" s="13" t="b">
        <v>1</v>
      </c>
    </row>
    <row r="92" spans="1:30">
      <c r="A92" t="s">
        <v>343</v>
      </c>
      <c r="B92" t="s">
        <v>344</v>
      </c>
      <c r="C92" t="s">
        <v>345</v>
      </c>
      <c r="D92" t="s">
        <v>19</v>
      </c>
      <c r="E92" t="s">
        <v>20</v>
      </c>
      <c r="F92" s="44" t="s">
        <v>346</v>
      </c>
      <c r="G92" t="s">
        <v>347</v>
      </c>
      <c r="L92" t="s">
        <v>334</v>
      </c>
      <c r="M92" t="s">
        <v>24</v>
      </c>
      <c r="N92" t="s">
        <v>25</v>
      </c>
      <c r="P92" s="11" t="s">
        <v>346</v>
      </c>
      <c r="Q92" s="12" t="s">
        <v>344</v>
      </c>
      <c r="R92" s="12" t="s">
        <v>344</v>
      </c>
      <c r="S92" s="12" t="b">
        <v>1</v>
      </c>
      <c r="T92" s="12" t="b">
        <v>1</v>
      </c>
      <c r="U92" s="12">
        <v>1</v>
      </c>
      <c r="V92" s="12" t="s">
        <v>345</v>
      </c>
      <c r="W92" s="12" t="s">
        <v>574</v>
      </c>
      <c r="X92" s="12" t="b">
        <v>0</v>
      </c>
      <c r="Y92" s="12" t="b">
        <v>1</v>
      </c>
      <c r="Z92" s="12">
        <v>3</v>
      </c>
      <c r="AA92" s="12">
        <v>0.94830000000000003</v>
      </c>
      <c r="AB92" s="12" t="s">
        <v>1582</v>
      </c>
      <c r="AC92" s="12" t="s">
        <v>1583</v>
      </c>
      <c r="AD92" s="13" t="b">
        <v>1</v>
      </c>
    </row>
    <row r="93" spans="1:30">
      <c r="A93" t="s">
        <v>348</v>
      </c>
      <c r="B93" t="s">
        <v>349</v>
      </c>
      <c r="C93" t="s">
        <v>350</v>
      </c>
      <c r="D93" t="s">
        <v>127</v>
      </c>
      <c r="E93" t="s">
        <v>127</v>
      </c>
      <c r="F93" s="43" t="s">
        <v>351</v>
      </c>
      <c r="G93" t="s">
        <v>352</v>
      </c>
      <c r="L93" t="s">
        <v>334</v>
      </c>
      <c r="M93" t="s">
        <v>24</v>
      </c>
      <c r="N93" t="s">
        <v>25</v>
      </c>
      <c r="P93" s="11" t="s">
        <v>351</v>
      </c>
      <c r="Q93" s="12" t="s">
        <v>349</v>
      </c>
      <c r="R93" s="12" t="s">
        <v>349</v>
      </c>
      <c r="S93" s="12" t="b">
        <v>1</v>
      </c>
      <c r="T93" s="12" t="b">
        <v>1</v>
      </c>
      <c r="U93" s="12">
        <v>1</v>
      </c>
      <c r="V93" s="12" t="s">
        <v>350</v>
      </c>
      <c r="W93" s="12" t="s">
        <v>1584</v>
      </c>
      <c r="X93" s="12" t="b">
        <v>0</v>
      </c>
      <c r="Y93" s="12" t="b">
        <v>1</v>
      </c>
      <c r="Z93" s="12">
        <v>3</v>
      </c>
      <c r="AA93" s="12">
        <v>1</v>
      </c>
      <c r="AB93" s="12" t="s">
        <v>349</v>
      </c>
      <c r="AC93" s="12" t="s">
        <v>1585</v>
      </c>
      <c r="AD93" s="13" t="b">
        <v>1</v>
      </c>
    </row>
    <row r="94" spans="1:30">
      <c r="A94" t="s">
        <v>353</v>
      </c>
      <c r="B94" t="s">
        <v>241</v>
      </c>
      <c r="C94" t="s">
        <v>242</v>
      </c>
      <c r="D94" t="s">
        <v>19</v>
      </c>
      <c r="E94" t="s">
        <v>20</v>
      </c>
      <c r="G94" t="s">
        <v>355</v>
      </c>
      <c r="L94" t="s">
        <v>334</v>
      </c>
      <c r="M94" t="s">
        <v>24</v>
      </c>
      <c r="N94" t="s">
        <v>31</v>
      </c>
      <c r="P94" s="11" t="s">
        <v>354</v>
      </c>
      <c r="Q94" s="12" t="s">
        <v>241</v>
      </c>
      <c r="R94" s="12" t="s">
        <v>241</v>
      </c>
      <c r="S94" s="12" t="b">
        <v>1</v>
      </c>
      <c r="T94" s="12" t="b">
        <v>1</v>
      </c>
      <c r="U94" s="12">
        <v>1</v>
      </c>
      <c r="V94" s="12" t="s">
        <v>242</v>
      </c>
      <c r="W94" s="12" t="s">
        <v>1586</v>
      </c>
      <c r="X94" s="12" t="b">
        <v>0</v>
      </c>
      <c r="Y94" s="12" t="b">
        <v>0</v>
      </c>
      <c r="Z94" s="12">
        <v>9</v>
      </c>
      <c r="AA94" s="12">
        <v>0.79410000000000003</v>
      </c>
      <c r="AB94" s="12" t="s">
        <v>1013</v>
      </c>
      <c r="AC94" s="12" t="s">
        <v>1587</v>
      </c>
      <c r="AD94" s="13" t="b">
        <v>1</v>
      </c>
    </row>
    <row r="95" spans="1:30" hidden="1">
      <c r="A95" s="2" t="s">
        <v>356</v>
      </c>
      <c r="B95" s="2" t="s">
        <v>266</v>
      </c>
      <c r="C95" s="2" t="s">
        <v>357</v>
      </c>
      <c r="D95" s="2" t="s">
        <v>79</v>
      </c>
      <c r="E95" s="2" t="s">
        <v>20</v>
      </c>
      <c r="F95" s="2"/>
      <c r="G95" s="2" t="s">
        <v>358</v>
      </c>
      <c r="H95" s="2"/>
      <c r="I95" s="2"/>
      <c r="J95" s="2"/>
      <c r="K95" s="2"/>
      <c r="L95" s="2" t="s">
        <v>334</v>
      </c>
      <c r="M95" s="2" t="s">
        <v>24</v>
      </c>
      <c r="N95" s="2" t="s">
        <v>49</v>
      </c>
      <c r="P95" s="11" t="s">
        <v>268</v>
      </c>
      <c r="Q95" s="12" t="s">
        <v>266</v>
      </c>
      <c r="R95" s="12" t="s">
        <v>266</v>
      </c>
      <c r="S95" s="12" t="b">
        <v>1</v>
      </c>
      <c r="T95" s="12" t="b">
        <v>1</v>
      </c>
      <c r="U95" s="12">
        <v>1</v>
      </c>
      <c r="V95" s="12" t="s">
        <v>357</v>
      </c>
      <c r="W95" s="12" t="s">
        <v>267</v>
      </c>
      <c r="X95" s="12" t="b">
        <v>0</v>
      </c>
      <c r="Y95" s="12" t="b">
        <v>1</v>
      </c>
      <c r="Z95" s="12">
        <v>4</v>
      </c>
      <c r="AA95" s="12">
        <v>0.88480000000000003</v>
      </c>
      <c r="AB95" s="12" t="s">
        <v>266</v>
      </c>
      <c r="AC95" s="12" t="s">
        <v>1588</v>
      </c>
      <c r="AD95" s="13" t="b">
        <v>1</v>
      </c>
    </row>
    <row r="96" spans="1:30">
      <c r="A96" t="s">
        <v>359</v>
      </c>
      <c r="B96" t="s">
        <v>360</v>
      </c>
      <c r="C96" t="s">
        <v>361</v>
      </c>
      <c r="D96" t="s">
        <v>127</v>
      </c>
      <c r="E96" t="s">
        <v>127</v>
      </c>
      <c r="F96" t="s">
        <v>362</v>
      </c>
      <c r="G96" t="s">
        <v>363</v>
      </c>
      <c r="L96" t="s">
        <v>334</v>
      </c>
      <c r="M96" t="s">
        <v>24</v>
      </c>
      <c r="N96" t="s">
        <v>25</v>
      </c>
      <c r="P96" s="11" t="s">
        <v>362</v>
      </c>
      <c r="Q96" s="12" t="s">
        <v>360</v>
      </c>
      <c r="R96" s="12" t="s">
        <v>360</v>
      </c>
      <c r="S96" s="12" t="b">
        <v>1</v>
      </c>
      <c r="T96" s="12" t="b">
        <v>1</v>
      </c>
      <c r="U96" s="12">
        <v>1</v>
      </c>
      <c r="V96" s="12" t="s">
        <v>361</v>
      </c>
      <c r="W96" s="12" t="s">
        <v>1589</v>
      </c>
      <c r="X96" s="12" t="b">
        <v>0</v>
      </c>
      <c r="Y96" s="12" t="b">
        <v>1</v>
      </c>
      <c r="Z96" s="12">
        <v>4</v>
      </c>
      <c r="AA96" s="12">
        <v>0.98409999999999997</v>
      </c>
      <c r="AB96" s="12" t="s">
        <v>1590</v>
      </c>
      <c r="AC96" s="12" t="s">
        <v>1591</v>
      </c>
      <c r="AD96" s="13" t="b">
        <v>1</v>
      </c>
    </row>
    <row r="97" spans="1:30" hidden="1">
      <c r="A97" t="s">
        <v>364</v>
      </c>
      <c r="B97" t="s">
        <v>365</v>
      </c>
      <c r="C97" t="s">
        <v>366</v>
      </c>
      <c r="D97" t="s">
        <v>19</v>
      </c>
      <c r="E97" t="s">
        <v>20</v>
      </c>
      <c r="F97" t="s">
        <v>367</v>
      </c>
      <c r="G97" t="s">
        <v>368</v>
      </c>
      <c r="L97" t="s">
        <v>334</v>
      </c>
      <c r="M97" t="s">
        <v>24</v>
      </c>
      <c r="N97" t="s">
        <v>25</v>
      </c>
      <c r="P97" s="11" t="s">
        <v>367</v>
      </c>
      <c r="Q97" s="12" t="s">
        <v>365</v>
      </c>
      <c r="R97" s="12" t="s">
        <v>365</v>
      </c>
      <c r="S97" s="12" t="b">
        <v>1</v>
      </c>
      <c r="T97" s="12" t="b">
        <v>1</v>
      </c>
      <c r="U97" s="12">
        <v>1</v>
      </c>
      <c r="V97" s="12" t="s">
        <v>366</v>
      </c>
      <c r="W97" s="12" t="s">
        <v>366</v>
      </c>
      <c r="X97" s="12" t="b">
        <v>1</v>
      </c>
      <c r="Y97" s="12" t="b">
        <v>1</v>
      </c>
      <c r="Z97" s="12">
        <v>1</v>
      </c>
      <c r="AA97" s="12">
        <v>0.90039999999999998</v>
      </c>
      <c r="AB97" s="12" t="s">
        <v>1592</v>
      </c>
      <c r="AC97" s="12" t="s">
        <v>1593</v>
      </c>
      <c r="AD97" s="13" t="b">
        <v>1</v>
      </c>
    </row>
    <row r="98" spans="1:30">
      <c r="A98" t="s">
        <v>37</v>
      </c>
      <c r="B98" t="s">
        <v>38</v>
      </c>
      <c r="C98" t="s">
        <v>369</v>
      </c>
      <c r="D98" t="s">
        <v>127</v>
      </c>
      <c r="E98" t="s">
        <v>127</v>
      </c>
      <c r="F98" t="s">
        <v>370</v>
      </c>
      <c r="G98" t="s">
        <v>371</v>
      </c>
      <c r="L98" t="s">
        <v>372</v>
      </c>
      <c r="M98" t="s">
        <v>24</v>
      </c>
      <c r="N98" t="s">
        <v>31</v>
      </c>
      <c r="P98" s="11" t="s">
        <v>370</v>
      </c>
      <c r="Q98" s="12" t="s">
        <v>38</v>
      </c>
      <c r="R98" s="12" t="s">
        <v>38</v>
      </c>
      <c r="S98" s="12" t="b">
        <v>1</v>
      </c>
      <c r="T98" s="12" t="b">
        <v>1</v>
      </c>
      <c r="U98" s="12">
        <v>1</v>
      </c>
      <c r="V98" s="12" t="s">
        <v>369</v>
      </c>
      <c r="W98" s="12" t="s">
        <v>1594</v>
      </c>
      <c r="X98" s="12" t="b">
        <v>0</v>
      </c>
      <c r="Y98" s="12" t="b">
        <v>1</v>
      </c>
      <c r="Z98" s="12">
        <v>2</v>
      </c>
      <c r="AA98" s="12">
        <v>1</v>
      </c>
      <c r="AB98" s="12" t="s">
        <v>989</v>
      </c>
      <c r="AC98" s="12" t="s">
        <v>1595</v>
      </c>
      <c r="AD98" s="13" t="b">
        <v>1</v>
      </c>
    </row>
    <row r="99" spans="1:30">
      <c r="A99" t="s">
        <v>373</v>
      </c>
      <c r="B99" t="s">
        <v>271</v>
      </c>
      <c r="C99" t="s">
        <v>374</v>
      </c>
      <c r="D99" t="s">
        <v>127</v>
      </c>
      <c r="E99" t="s">
        <v>127</v>
      </c>
      <c r="F99" t="s">
        <v>273</v>
      </c>
      <c r="G99" t="s">
        <v>375</v>
      </c>
      <c r="L99" t="s">
        <v>372</v>
      </c>
      <c r="M99" t="s">
        <v>24</v>
      </c>
      <c r="N99" t="s">
        <v>25</v>
      </c>
      <c r="P99" s="11" t="s">
        <v>273</v>
      </c>
      <c r="Q99" s="12" t="s">
        <v>271</v>
      </c>
      <c r="R99" s="12" t="s">
        <v>271</v>
      </c>
      <c r="S99" s="12" t="b">
        <v>1</v>
      </c>
      <c r="T99" s="12" t="b">
        <v>1</v>
      </c>
      <c r="U99" s="12">
        <v>1</v>
      </c>
      <c r="V99" s="12" t="s">
        <v>374</v>
      </c>
      <c r="W99" s="12" t="s">
        <v>1596</v>
      </c>
      <c r="X99" s="12" t="b">
        <v>0</v>
      </c>
      <c r="Y99" s="12" t="b">
        <v>1</v>
      </c>
      <c r="Z99" s="12">
        <v>3</v>
      </c>
      <c r="AA99" s="12">
        <v>0.95899999999999996</v>
      </c>
      <c r="AB99" s="12" t="s">
        <v>271</v>
      </c>
      <c r="AC99" s="12" t="s">
        <v>1597</v>
      </c>
      <c r="AD99" s="13" t="b">
        <v>1</v>
      </c>
    </row>
    <row r="100" spans="1:30" hidden="1">
      <c r="A100" t="s">
        <v>376</v>
      </c>
      <c r="B100" t="s">
        <v>377</v>
      </c>
      <c r="C100" t="s">
        <v>378</v>
      </c>
      <c r="D100" t="s">
        <v>379</v>
      </c>
      <c r="E100" t="s">
        <v>379</v>
      </c>
      <c r="F100" t="s">
        <v>380</v>
      </c>
      <c r="G100" t="s">
        <v>381</v>
      </c>
      <c r="L100" t="s">
        <v>372</v>
      </c>
      <c r="M100" t="s">
        <v>24</v>
      </c>
      <c r="N100" s="2" t="s">
        <v>49</v>
      </c>
      <c r="P100" s="11" t="s">
        <v>380</v>
      </c>
      <c r="Q100" s="12" t="s">
        <v>377</v>
      </c>
      <c r="R100" s="12" t="s">
        <v>377</v>
      </c>
      <c r="S100" s="12" t="b">
        <v>1</v>
      </c>
      <c r="T100" s="12" t="b">
        <v>1</v>
      </c>
      <c r="U100" s="12">
        <v>1</v>
      </c>
      <c r="V100" s="12" t="s">
        <v>378</v>
      </c>
      <c r="W100" s="12" t="s">
        <v>1598</v>
      </c>
      <c r="X100" s="12" t="b">
        <v>0</v>
      </c>
      <c r="Y100" s="12" t="b">
        <v>1</v>
      </c>
      <c r="Z100" s="12">
        <v>4</v>
      </c>
      <c r="AA100" s="12">
        <v>0.98319999999999996</v>
      </c>
      <c r="AB100" s="12" t="s">
        <v>1599</v>
      </c>
      <c r="AC100" s="12" t="s">
        <v>1600</v>
      </c>
      <c r="AD100" s="13" t="b">
        <v>1</v>
      </c>
    </row>
    <row r="101" spans="1:30">
      <c r="A101" t="s">
        <v>382</v>
      </c>
      <c r="B101" t="s">
        <v>383</v>
      </c>
      <c r="C101" t="s">
        <v>384</v>
      </c>
      <c r="D101" t="s">
        <v>127</v>
      </c>
      <c r="E101" t="s">
        <v>127</v>
      </c>
      <c r="F101" t="s">
        <v>385</v>
      </c>
      <c r="G101" t="s">
        <v>386</v>
      </c>
      <c r="L101" t="s">
        <v>372</v>
      </c>
      <c r="M101" t="s">
        <v>24</v>
      </c>
      <c r="N101" t="s">
        <v>31</v>
      </c>
      <c r="P101" s="11" t="s">
        <v>385</v>
      </c>
      <c r="Q101" s="12" t="s">
        <v>383</v>
      </c>
      <c r="R101" s="12" t="s">
        <v>383</v>
      </c>
      <c r="S101" s="12" t="b">
        <v>1</v>
      </c>
      <c r="T101" s="12" t="b">
        <v>1</v>
      </c>
      <c r="U101" s="12">
        <v>1</v>
      </c>
      <c r="V101" s="12" t="s">
        <v>384</v>
      </c>
      <c r="W101" s="12" t="s">
        <v>1496</v>
      </c>
      <c r="X101" s="12" t="b">
        <v>0</v>
      </c>
      <c r="Y101" s="12" t="b">
        <v>1</v>
      </c>
      <c r="Z101" s="12">
        <v>4</v>
      </c>
      <c r="AA101" s="12">
        <v>0.97109999999999996</v>
      </c>
      <c r="AB101" s="12" t="s">
        <v>1601</v>
      </c>
      <c r="AC101" s="12" t="s">
        <v>1602</v>
      </c>
      <c r="AD101" s="13" t="b">
        <v>1</v>
      </c>
    </row>
    <row r="102" spans="1:30">
      <c r="A102" t="s">
        <v>382</v>
      </c>
      <c r="B102" t="s">
        <v>383</v>
      </c>
      <c r="C102" t="s">
        <v>384</v>
      </c>
      <c r="D102" t="s">
        <v>127</v>
      </c>
      <c r="E102" t="s">
        <v>127</v>
      </c>
      <c r="F102" t="s">
        <v>385</v>
      </c>
      <c r="G102" t="s">
        <v>387</v>
      </c>
      <c r="L102" t="s">
        <v>372</v>
      </c>
      <c r="M102" t="s">
        <v>24</v>
      </c>
      <c r="N102" t="s">
        <v>31</v>
      </c>
      <c r="P102" s="11" t="s">
        <v>385</v>
      </c>
      <c r="Q102" s="12" t="s">
        <v>383</v>
      </c>
      <c r="R102" s="12" t="s">
        <v>383</v>
      </c>
      <c r="S102" s="12" t="b">
        <v>1</v>
      </c>
      <c r="T102" s="12" t="b">
        <v>1</v>
      </c>
      <c r="U102" s="12">
        <v>1</v>
      </c>
      <c r="V102" s="12" t="s">
        <v>384</v>
      </c>
      <c r="W102" s="12" t="s">
        <v>1496</v>
      </c>
      <c r="X102" s="12" t="b">
        <v>0</v>
      </c>
      <c r="Y102" s="12" t="b">
        <v>1</v>
      </c>
      <c r="Z102" s="12">
        <v>4</v>
      </c>
      <c r="AA102" s="12">
        <v>0.97109999999999996</v>
      </c>
      <c r="AB102" s="12" t="s">
        <v>1601</v>
      </c>
      <c r="AC102" s="12" t="s">
        <v>1602</v>
      </c>
      <c r="AD102" s="13" t="b">
        <v>1</v>
      </c>
    </row>
    <row r="103" spans="1:30">
      <c r="A103" t="s">
        <v>388</v>
      </c>
      <c r="B103" t="s">
        <v>389</v>
      </c>
      <c r="C103" t="s">
        <v>390</v>
      </c>
      <c r="D103" t="s">
        <v>127</v>
      </c>
      <c r="E103" t="s">
        <v>127</v>
      </c>
      <c r="F103" t="s">
        <v>391</v>
      </c>
      <c r="G103" t="s">
        <v>392</v>
      </c>
      <c r="L103" t="s">
        <v>372</v>
      </c>
      <c r="M103" t="s">
        <v>24</v>
      </c>
      <c r="N103" t="s">
        <v>25</v>
      </c>
      <c r="P103" s="11" t="s">
        <v>391</v>
      </c>
      <c r="Q103" s="12" t="s">
        <v>389</v>
      </c>
      <c r="R103" s="12" t="s">
        <v>389</v>
      </c>
      <c r="S103" s="12" t="b">
        <v>1</v>
      </c>
      <c r="T103" s="12" t="b">
        <v>1</v>
      </c>
      <c r="U103" s="12">
        <v>1</v>
      </c>
      <c r="V103" s="12" t="s">
        <v>390</v>
      </c>
      <c r="W103" s="12" t="s">
        <v>1603</v>
      </c>
      <c r="X103" s="12" t="b">
        <v>0</v>
      </c>
      <c r="Y103" s="12" t="b">
        <v>0</v>
      </c>
      <c r="Z103" s="12">
        <v>12</v>
      </c>
      <c r="AA103" s="12">
        <v>0.99039999999999995</v>
      </c>
      <c r="AB103" s="12" t="s">
        <v>1604</v>
      </c>
      <c r="AC103" s="12" t="s">
        <v>1605</v>
      </c>
      <c r="AD103" s="13" t="b">
        <v>1</v>
      </c>
    </row>
    <row r="104" spans="1:30">
      <c r="A104" t="s">
        <v>393</v>
      </c>
      <c r="B104" t="s">
        <v>344</v>
      </c>
      <c r="C104" t="s">
        <v>394</v>
      </c>
      <c r="D104" t="s">
        <v>127</v>
      </c>
      <c r="E104" t="s">
        <v>127</v>
      </c>
      <c r="F104" t="s">
        <v>346</v>
      </c>
      <c r="G104" t="s">
        <v>395</v>
      </c>
      <c r="L104" t="s">
        <v>372</v>
      </c>
      <c r="M104" t="s">
        <v>24</v>
      </c>
      <c r="N104" t="s">
        <v>25</v>
      </c>
      <c r="O104" t="s">
        <v>1132</v>
      </c>
      <c r="P104" s="11" t="s">
        <v>346</v>
      </c>
      <c r="Q104" s="12" t="s">
        <v>344</v>
      </c>
      <c r="R104" s="12" t="s">
        <v>344</v>
      </c>
      <c r="S104" s="12" t="b">
        <v>1</v>
      </c>
      <c r="T104" s="12" t="b">
        <v>1</v>
      </c>
      <c r="U104" s="12">
        <v>1</v>
      </c>
      <c r="V104" s="12" t="s">
        <v>394</v>
      </c>
      <c r="W104" s="12" t="s">
        <v>574</v>
      </c>
      <c r="X104" s="12" t="b">
        <v>0</v>
      </c>
      <c r="Y104" s="12" t="b">
        <v>1</v>
      </c>
      <c r="Z104" s="12">
        <v>4</v>
      </c>
      <c r="AA104" s="12">
        <v>0.94830000000000003</v>
      </c>
      <c r="AB104" s="12" t="s">
        <v>1582</v>
      </c>
      <c r="AC104" s="12" t="s">
        <v>1583</v>
      </c>
      <c r="AD104" s="13" t="b">
        <v>1</v>
      </c>
    </row>
    <row r="105" spans="1:30">
      <c r="A105" t="s">
        <v>396</v>
      </c>
      <c r="B105" t="s">
        <v>397</v>
      </c>
      <c r="C105" t="s">
        <v>398</v>
      </c>
      <c r="D105" t="s">
        <v>127</v>
      </c>
      <c r="E105" t="s">
        <v>127</v>
      </c>
      <c r="F105" t="s">
        <v>399</v>
      </c>
      <c r="G105" t="s">
        <v>400</v>
      </c>
      <c r="L105" t="s">
        <v>372</v>
      </c>
      <c r="M105" t="s">
        <v>24</v>
      </c>
      <c r="N105" t="s">
        <v>25</v>
      </c>
      <c r="P105" s="11" t="s">
        <v>399</v>
      </c>
      <c r="Q105" s="12" t="s">
        <v>397</v>
      </c>
      <c r="R105" s="12" t="s">
        <v>397</v>
      </c>
      <c r="S105" s="12" t="b">
        <v>1</v>
      </c>
      <c r="T105" s="12" t="b">
        <v>1</v>
      </c>
      <c r="U105" s="12">
        <v>1</v>
      </c>
      <c r="V105" s="12" t="s">
        <v>398</v>
      </c>
      <c r="W105" s="12" t="s">
        <v>1606</v>
      </c>
      <c r="X105" s="12" t="b">
        <v>0</v>
      </c>
      <c r="Y105" s="12" t="b">
        <v>1</v>
      </c>
      <c r="Z105" s="12">
        <v>3</v>
      </c>
      <c r="AA105" s="12">
        <v>1</v>
      </c>
      <c r="AB105" s="12" t="s">
        <v>1607</v>
      </c>
      <c r="AC105" s="12" t="s">
        <v>1608</v>
      </c>
      <c r="AD105" s="13" t="b">
        <v>1</v>
      </c>
    </row>
    <row r="106" spans="1:30">
      <c r="A106" t="s">
        <v>401</v>
      </c>
      <c r="B106" t="s">
        <v>397</v>
      </c>
      <c r="C106" t="s">
        <v>402</v>
      </c>
      <c r="D106" t="s">
        <v>379</v>
      </c>
      <c r="E106" t="s">
        <v>379</v>
      </c>
      <c r="F106" t="s">
        <v>399</v>
      </c>
      <c r="G106" t="s">
        <v>403</v>
      </c>
      <c r="L106" t="s">
        <v>372</v>
      </c>
      <c r="M106" t="s">
        <v>24</v>
      </c>
      <c r="N106" t="s">
        <v>25</v>
      </c>
      <c r="P106" s="11" t="s">
        <v>399</v>
      </c>
      <c r="Q106" s="12" t="s">
        <v>397</v>
      </c>
      <c r="R106" s="12" t="s">
        <v>397</v>
      </c>
      <c r="S106" s="12" t="b">
        <v>1</v>
      </c>
      <c r="T106" s="12" t="b">
        <v>1</v>
      </c>
      <c r="U106" s="12">
        <v>1</v>
      </c>
      <c r="V106" s="12" t="s">
        <v>402</v>
      </c>
      <c r="W106" s="12" t="s">
        <v>1606</v>
      </c>
      <c r="X106" s="12" t="b">
        <v>0</v>
      </c>
      <c r="Y106" s="12" t="b">
        <v>1</v>
      </c>
      <c r="Z106" s="12">
        <v>4</v>
      </c>
      <c r="AA106" s="12">
        <v>1</v>
      </c>
      <c r="AB106" s="12" t="s">
        <v>1607</v>
      </c>
      <c r="AC106" s="12" t="s">
        <v>1608</v>
      </c>
      <c r="AD106" s="13" t="b">
        <v>1</v>
      </c>
    </row>
    <row r="107" spans="1:30">
      <c r="A107" t="s">
        <v>404</v>
      </c>
      <c r="B107" t="s">
        <v>405</v>
      </c>
      <c r="C107" t="s">
        <v>406</v>
      </c>
      <c r="D107" t="s">
        <v>127</v>
      </c>
      <c r="E107" t="s">
        <v>127</v>
      </c>
      <c r="F107" t="s">
        <v>407</v>
      </c>
      <c r="G107" t="s">
        <v>404</v>
      </c>
      <c r="L107" t="s">
        <v>372</v>
      </c>
      <c r="M107" t="s">
        <v>24</v>
      </c>
      <c r="N107" t="s">
        <v>25</v>
      </c>
      <c r="P107" s="11" t="s">
        <v>407</v>
      </c>
      <c r="Q107" s="12" t="s">
        <v>405</v>
      </c>
      <c r="R107" s="12" t="s">
        <v>405</v>
      </c>
      <c r="S107" s="12" t="b">
        <v>1</v>
      </c>
      <c r="T107" s="12" t="b">
        <v>1</v>
      </c>
      <c r="U107" s="12">
        <v>1</v>
      </c>
      <c r="V107" s="12" t="s">
        <v>406</v>
      </c>
      <c r="W107" s="12" t="s">
        <v>1609</v>
      </c>
      <c r="X107" s="12" t="b">
        <v>0</v>
      </c>
      <c r="Y107" s="12" t="b">
        <v>1</v>
      </c>
      <c r="Z107" s="12">
        <v>4</v>
      </c>
      <c r="AA107" s="12">
        <v>0.97030000000000005</v>
      </c>
      <c r="AB107" s="12" t="s">
        <v>405</v>
      </c>
      <c r="AC107" s="12" t="s">
        <v>1610</v>
      </c>
      <c r="AD107" s="13" t="b">
        <v>1</v>
      </c>
    </row>
    <row r="108" spans="1:30">
      <c r="A108" t="s">
        <v>408</v>
      </c>
      <c r="B108" t="s">
        <v>405</v>
      </c>
      <c r="C108" t="s">
        <v>409</v>
      </c>
      <c r="D108" t="s">
        <v>379</v>
      </c>
      <c r="E108" t="s">
        <v>379</v>
      </c>
      <c r="F108" t="s">
        <v>407</v>
      </c>
      <c r="G108" t="s">
        <v>408</v>
      </c>
      <c r="L108" t="s">
        <v>372</v>
      </c>
      <c r="M108" t="s">
        <v>24</v>
      </c>
      <c r="N108" t="s">
        <v>25</v>
      </c>
      <c r="P108" s="11" t="s">
        <v>407</v>
      </c>
      <c r="Q108" s="12" t="s">
        <v>405</v>
      </c>
      <c r="R108" s="12" t="s">
        <v>405</v>
      </c>
      <c r="S108" s="12" t="b">
        <v>1</v>
      </c>
      <c r="T108" s="12" t="b">
        <v>1</v>
      </c>
      <c r="U108" s="12">
        <v>1</v>
      </c>
      <c r="V108" s="12" t="s">
        <v>409</v>
      </c>
      <c r="W108" s="12" t="s">
        <v>1609</v>
      </c>
      <c r="X108" s="12" t="b">
        <v>0</v>
      </c>
      <c r="Y108" s="12" t="b">
        <v>1</v>
      </c>
      <c r="Z108" s="12">
        <v>5</v>
      </c>
      <c r="AA108" s="12">
        <v>0.97030000000000005</v>
      </c>
      <c r="AB108" s="12" t="s">
        <v>405</v>
      </c>
      <c r="AC108" s="12" t="s">
        <v>1610</v>
      </c>
      <c r="AD108" s="13" t="b">
        <v>1</v>
      </c>
    </row>
    <row r="109" spans="1:30" hidden="1">
      <c r="A109" t="s">
        <v>410</v>
      </c>
      <c r="B109" t="s">
        <v>595</v>
      </c>
      <c r="C109" t="s">
        <v>411</v>
      </c>
      <c r="D109" t="s">
        <v>127</v>
      </c>
      <c r="E109" t="s">
        <v>127</v>
      </c>
      <c r="G109" t="s">
        <v>412</v>
      </c>
      <c r="L109" t="s">
        <v>372</v>
      </c>
      <c r="M109" t="s">
        <v>24</v>
      </c>
      <c r="N109" t="s">
        <v>31</v>
      </c>
      <c r="P109" s="11" t="s">
        <v>412</v>
      </c>
      <c r="Q109" s="12" t="s">
        <v>410</v>
      </c>
      <c r="R109" s="12" t="s">
        <v>410</v>
      </c>
      <c r="S109" s="12" t="b">
        <v>1</v>
      </c>
      <c r="T109" s="12" t="b">
        <v>1</v>
      </c>
      <c r="U109" s="12">
        <v>1</v>
      </c>
      <c r="V109" s="12" t="s">
        <v>411</v>
      </c>
      <c r="W109" s="12" t="s">
        <v>411</v>
      </c>
      <c r="X109" s="12" t="b">
        <v>1</v>
      </c>
      <c r="Y109" s="12" t="b">
        <v>1</v>
      </c>
      <c r="Z109" s="12">
        <v>1</v>
      </c>
      <c r="AA109" s="12">
        <v>1.1418999999999999</v>
      </c>
      <c r="AB109" s="12" t="s">
        <v>1042</v>
      </c>
      <c r="AC109" s="12" t="s">
        <v>1522</v>
      </c>
      <c r="AD109" s="13" t="b">
        <v>1</v>
      </c>
    </row>
    <row r="110" spans="1:30">
      <c r="A110" t="s">
        <v>413</v>
      </c>
      <c r="B110" t="s">
        <v>331</v>
      </c>
      <c r="C110" t="s">
        <v>414</v>
      </c>
      <c r="D110" t="s">
        <v>127</v>
      </c>
      <c r="E110" t="s">
        <v>127</v>
      </c>
      <c r="F110" t="s">
        <v>333</v>
      </c>
      <c r="G110" t="s">
        <v>415</v>
      </c>
      <c r="L110" t="s">
        <v>372</v>
      </c>
      <c r="M110" t="s">
        <v>24</v>
      </c>
      <c r="N110" t="s">
        <v>31</v>
      </c>
      <c r="P110" s="14" t="s">
        <v>333</v>
      </c>
      <c r="Q110" s="15" t="s">
        <v>331</v>
      </c>
      <c r="R110" s="15" t="s">
        <v>331</v>
      </c>
      <c r="S110" s="15" t="b">
        <v>1</v>
      </c>
      <c r="T110" s="15" t="b">
        <v>1</v>
      </c>
      <c r="U110" s="15">
        <v>1</v>
      </c>
      <c r="V110" s="15" t="s">
        <v>414</v>
      </c>
      <c r="W110" s="15" t="s">
        <v>769</v>
      </c>
      <c r="X110" s="15" t="b">
        <v>0</v>
      </c>
      <c r="Y110" s="15" t="b">
        <v>1</v>
      </c>
      <c r="Z110" s="15">
        <v>2</v>
      </c>
      <c r="AA110" s="15">
        <v>0.93659999999999999</v>
      </c>
      <c r="AB110" s="15" t="s">
        <v>331</v>
      </c>
      <c r="AC110" s="15" t="s">
        <v>1579</v>
      </c>
      <c r="AD110" s="16" t="b">
        <v>1</v>
      </c>
    </row>
  </sheetData>
  <autoFilter ref="A15:AJ110" xr:uid="{5E0BE612-B831-4DFF-B4BD-4E14D20E8F9D}">
    <filterColumn colId="13">
      <filters>
        <filter val="Company Match"/>
        <filter val="Security Match"/>
      </filters>
    </filterColumn>
    <filterColumn colId="25">
      <filters blank="1">
        <filter val="12"/>
        <filter val="2"/>
        <filter val="3"/>
        <filter val="4"/>
        <filter val="5"/>
        <filter val="7"/>
        <filter val="9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839F-59AD-4D8E-9EB8-FC4BB1D0D950}">
  <dimension ref="A1:AU110"/>
  <sheetViews>
    <sheetView tabSelected="1" topLeftCell="P20" workbookViewId="0">
      <selection activeCell="V37" sqref="V37"/>
    </sheetView>
  </sheetViews>
  <sheetFormatPr defaultRowHeight="15"/>
  <cols>
    <col min="1" max="1" width="23.28515625" customWidth="1"/>
    <col min="2" max="2" width="16.140625" customWidth="1"/>
    <col min="3" max="3" width="17.42578125" customWidth="1"/>
    <col min="4" max="4" width="13.7109375" customWidth="1"/>
    <col min="5" max="5" width="11.140625" customWidth="1"/>
    <col min="6" max="6" width="26" customWidth="1"/>
    <col min="7" max="7" width="23.85546875" customWidth="1"/>
    <col min="8" max="11" width="9.140625" bestFit="1" customWidth="1"/>
    <col min="12" max="12" width="16" bestFit="1" customWidth="1"/>
    <col min="13" max="13" width="9.140625" bestFit="1" customWidth="1"/>
    <col min="14" max="14" width="25.140625" customWidth="1"/>
    <col min="15" max="16" width="16.28515625" customWidth="1"/>
    <col min="17" max="17" width="20.85546875" customWidth="1"/>
    <col min="18" max="18" width="23.140625" customWidth="1"/>
    <col min="19" max="20" width="9.140625" bestFit="1" customWidth="1"/>
    <col min="21" max="21" width="9.28515625" customWidth="1"/>
    <col min="22" max="22" width="23" customWidth="1"/>
    <col min="23" max="23" width="21.42578125" customWidth="1"/>
    <col min="24" max="24" width="10.140625" customWidth="1"/>
    <col min="25" max="25" width="9.140625" bestFit="1" customWidth="1"/>
    <col min="26" max="26" width="11.42578125" customWidth="1"/>
    <col min="27" max="29" width="9.140625" bestFit="1" customWidth="1"/>
    <col min="30" max="30" width="12" customWidth="1"/>
    <col min="31" max="31" width="29.140625" customWidth="1"/>
    <col min="32" max="32" width="9.140625" bestFit="1" customWidth="1"/>
    <col min="33" max="33" width="14.85546875" customWidth="1"/>
    <col min="34" max="34" width="9.42578125" customWidth="1"/>
    <col min="35" max="35" width="15.140625" customWidth="1"/>
    <col min="36" max="36" width="12.5703125" customWidth="1"/>
    <col min="42" max="42" width="8.7109375" customWidth="1"/>
    <col min="43" max="43" width="14.28515625" customWidth="1"/>
  </cols>
  <sheetData>
    <row r="1" spans="1:47">
      <c r="AF1" t="s">
        <v>1101</v>
      </c>
      <c r="AL1" t="s">
        <v>31</v>
      </c>
      <c r="AQ1" t="s">
        <v>1442</v>
      </c>
    </row>
    <row r="2" spans="1:47">
      <c r="AF2" t="str" cm="1">
        <f t="array" ref="AF2:AF8">_xlfn.UNIQUE(L16:L506)</f>
        <v>us bank cashfile</v>
      </c>
      <c r="AH2">
        <f>COUNTIFS($N$16:$N$499,"Company Match", L$16:L$499, AF2)</f>
        <v>14</v>
      </c>
      <c r="AI2">
        <f>COUNTIFS($N$16:$N$506,"Company Match", L$16:L$506, AF2, S$16:S$506, TRUE)</f>
        <v>13</v>
      </c>
      <c r="AJ2" s="21">
        <f>AI2/AH2</f>
        <v>0.9285714285714286</v>
      </c>
      <c r="AL2">
        <f>COUNTIFS($N$16:$N$499,"Security Match", L$16:L$499, AF2)</f>
        <v>12</v>
      </c>
      <c r="AM2">
        <f>COUNTIFS($N$16:$N$506,"Security Match", L$16:L$506, AF2, S$16:S$506, TRUE)</f>
        <v>12</v>
      </c>
      <c r="AN2" s="40">
        <f>AM2/AL2</f>
        <v>1</v>
      </c>
      <c r="AQ2" t="str" cm="1">
        <f t="array" ref="AQ2:AQ8">_xlfn.UNIQUE(L16:L506)</f>
        <v>us bank cashfile</v>
      </c>
      <c r="AR2">
        <f>COUNTIFS($N$16:$N$499,"Company Match", L$16:L$499, AF2)</f>
        <v>14</v>
      </c>
      <c r="AS2">
        <f>COUNTIFS($N$16:$N$506,"Company Match", L$16:L$506, AF2, X$16:X$506, TRUE)</f>
        <v>12</v>
      </c>
      <c r="AT2" s="21">
        <f>AS2/AR2</f>
        <v>0.8571428571428571</v>
      </c>
    </row>
    <row r="3" spans="1:47">
      <c r="AF3" t="str">
        <v>watc_holdings</v>
      </c>
      <c r="AH3">
        <f>COUNTIFS($N$16:$N$499,"Company Match", L$16:L$499, AF3)</f>
        <v>7</v>
      </c>
      <c r="AI3">
        <f>COUNTIFS($N$16:$N$506,"Company Match", L$16:L$506, AF3, S$16:S$506, TRUE)</f>
        <v>6</v>
      </c>
      <c r="AJ3" s="21">
        <f>AI3/AH3</f>
        <v>0.8571428571428571</v>
      </c>
      <c r="AL3">
        <f>COUNTIFS($N$16:$N$499,"Security Match", L$16:L$499, AF3)</f>
        <v>5</v>
      </c>
      <c r="AM3">
        <f>COUNTIFS($N$16:$N$506,"Security Match", L$16:L$506, AF3, S$16:S$506, TRUE)</f>
        <v>5</v>
      </c>
      <c r="AN3" s="40">
        <f>AM3/AL3</f>
        <v>1</v>
      </c>
      <c r="AQ3" t="str">
        <v>watc_holdings</v>
      </c>
      <c r="AR3">
        <f>COUNTIFS($N$16:$N$499,"Company Match", L$16:L$499, AF3)</f>
        <v>7</v>
      </c>
      <c r="AS3">
        <f>COUNTIFS($N$16:$N$506,"Company Match", L$16:L$506, AF3, X$16:X$506, TRUE)</f>
        <v>6</v>
      </c>
      <c r="AT3" s="21">
        <f t="shared" ref="AT3:AT7" si="0">AS3/AR3</f>
        <v>0.8571428571428571</v>
      </c>
    </row>
    <row r="4" spans="1:47">
      <c r="AF4" t="str">
        <v>market_value</v>
      </c>
      <c r="AH4">
        <f>COUNTIFS($N$16:$N$499,"Company Match", L$16:L$499, AF4)</f>
        <v>8</v>
      </c>
      <c r="AI4">
        <f>COUNTIFS($N$16:$N$506,"Company Match", L$16:L$506, AF4, S$16:S$506, TRUE)</f>
        <v>7</v>
      </c>
      <c r="AJ4" s="21">
        <f>AI4/AH4</f>
        <v>0.875</v>
      </c>
      <c r="AL4">
        <f>COUNTIFS($N$16:$N$499,"Security Match", L$16:L$499, AF4)</f>
        <v>5</v>
      </c>
      <c r="AM4">
        <f>COUNTIFS($N$16:$N$506,"Security Match", L$16:L$506, AF4, S$16:S$506, TRUE)</f>
        <v>5</v>
      </c>
      <c r="AN4" s="40">
        <f>AM4/AL4</f>
        <v>1</v>
      </c>
      <c r="AQ4" t="str">
        <v>market_value</v>
      </c>
      <c r="AR4">
        <f>COUNTIFS($N$16:$N$499,"Company Match", L$16:L$499, AF4)</f>
        <v>8</v>
      </c>
      <c r="AS4">
        <f>COUNTIFS($N$16:$N$506,"Company Match", L$16:L$506, AF4, X$16:X$506, TRUE)</f>
        <v>4</v>
      </c>
      <c r="AT4" s="21">
        <f t="shared" si="0"/>
        <v>0.5</v>
      </c>
    </row>
    <row r="5" spans="1:47">
      <c r="AF5" t="str">
        <v>master_ratings</v>
      </c>
      <c r="AH5">
        <f>COUNTIFS($N$16:$N$499,"Company Match", L$16:L$499, AF5)</f>
        <v>9</v>
      </c>
      <c r="AI5">
        <f>COUNTIFS($N$16:$N$506,"Company Match", L$16:L$506, AF5, S$16:S$506, TRUE)</f>
        <v>9</v>
      </c>
      <c r="AJ5" s="21">
        <f>AI5/AH5</f>
        <v>1</v>
      </c>
      <c r="AL5">
        <f>COUNTIFS($N$16:$N$499,"Security Match", L$16:L$499, AF5)</f>
        <v>0</v>
      </c>
      <c r="AM5">
        <f>COUNTIFS($N$16:$N$506,"Security Match", L$16:L$506, AF5, S$16:S$506, TRUE)</f>
        <v>0</v>
      </c>
      <c r="AQ5" t="str">
        <v>master_ratings</v>
      </c>
      <c r="AR5">
        <f>COUNTIFS($N$16:$N$499,"Company Match", L$16:L$499, AF5)</f>
        <v>9</v>
      </c>
      <c r="AS5">
        <f>COUNTIFS($N$16:$N$506,"Company Match", L$16:L$506, AF5, X$16:X$506, TRUE)</f>
        <v>1</v>
      </c>
      <c r="AT5" s="21">
        <f t="shared" si="0"/>
        <v>0.1111111111111111</v>
      </c>
      <c r="AU5" t="s">
        <v>1523</v>
      </c>
    </row>
    <row r="6" spans="1:47">
      <c r="AF6" t="str">
        <v>consolidated_soi</v>
      </c>
      <c r="AH6">
        <f>COUNTIFS($N$16:$N$499,"Company Match", L$16:L$499, AF6)</f>
        <v>4</v>
      </c>
      <c r="AI6">
        <f>COUNTIFS($N$16:$N$506,"Company Match", L$16:L$506, AF6, S$16:S$506, TRUE)</f>
        <v>4</v>
      </c>
      <c r="AJ6" s="21">
        <f>AI6/AH6</f>
        <v>1</v>
      </c>
      <c r="AL6">
        <f>COUNTIFS($N$16:$N$499,"Security Match", L$16:L$499, AF6)</f>
        <v>4</v>
      </c>
      <c r="AM6">
        <f>COUNTIFS($N$16:$N$506,"Security Match", L$16:L$506, AF6, S$16:S$506, TRUE)</f>
        <v>4</v>
      </c>
      <c r="AN6" s="40">
        <f>AM6/AL6</f>
        <v>1</v>
      </c>
      <c r="AQ6" t="str">
        <v>consolidated_soi</v>
      </c>
      <c r="AR6">
        <f>COUNTIFS($N$16:$N$499,"Company Match", L$16:L$499, AF6)</f>
        <v>4</v>
      </c>
      <c r="AS6">
        <f>COUNTIFS($N$16:$N$506,"Company Match", L$16:L$506, AF6, X$16:X$506, TRUE)</f>
        <v>1</v>
      </c>
      <c r="AT6" s="21">
        <f t="shared" si="0"/>
        <v>0.25</v>
      </c>
    </row>
    <row r="7" spans="1:47">
      <c r="AF7" t="str">
        <v>daily_long_short</v>
      </c>
      <c r="AH7">
        <f>COUNTIFS($N$16:$N$499,"Company Match", L$16:L$499, AF7)</f>
        <v>7</v>
      </c>
      <c r="AI7">
        <f>COUNTIFS($N$16:$N$506,"Company Match", L$16:L$506, AF7, S$16:S$506, TRUE)</f>
        <v>7</v>
      </c>
      <c r="AJ7" s="21">
        <f>AI7/AH7</f>
        <v>1</v>
      </c>
      <c r="AL7">
        <f>COUNTIFS($N$16:$N$499,"Security Match", L$16:L$499, AF7)</f>
        <v>5</v>
      </c>
      <c r="AM7">
        <f>COUNTIFS($N$16:$N$506,"Security Match", L$16:L$506, AF7, S$16:S$506, TRUE)</f>
        <v>5</v>
      </c>
      <c r="AN7" s="40">
        <f>AM7/AL7</f>
        <v>1</v>
      </c>
      <c r="AQ7" t="str">
        <v>daily_long_short</v>
      </c>
      <c r="AR7">
        <f>COUNTIFS($N$16:$N$499,"Company Match", L$16:L$499, AF7)</f>
        <v>7</v>
      </c>
      <c r="AS7">
        <f>COUNTIFS($N$16:$N$506,"Company Match", L$16:L$506, AF7, X$16:X$506, TRUE)</f>
        <v>0</v>
      </c>
      <c r="AT7" s="21">
        <f t="shared" si="0"/>
        <v>0</v>
      </c>
    </row>
    <row r="8" spans="1:47">
      <c r="AF8">
        <v>0</v>
      </c>
      <c r="AN8" s="40"/>
      <c r="AQ8">
        <v>0</v>
      </c>
    </row>
    <row r="10" spans="1:47">
      <c r="AE10" s="25" t="s">
        <v>981</v>
      </c>
      <c r="AF10" s="25" t="s">
        <v>982</v>
      </c>
      <c r="AG10" s="25" t="s">
        <v>1102</v>
      </c>
      <c r="AH10" s="25" t="s">
        <v>984</v>
      </c>
      <c r="AI10" s="25" t="s">
        <v>1103</v>
      </c>
      <c r="AJ10" s="25" t="s">
        <v>984</v>
      </c>
    </row>
    <row r="11" spans="1:47">
      <c r="AE11" s="26" t="s">
        <v>25</v>
      </c>
      <c r="AF11" s="28">
        <f>COUNTIF($N$16:$N$126,"Company Match")</f>
        <v>49</v>
      </c>
      <c r="AG11" s="28">
        <f>COUNTIFS($N$16:$N$110,"Company Match",$S$16:$S$110,TRUE)</f>
        <v>46</v>
      </c>
      <c r="AH11" s="29">
        <f>IF(AF11&gt;0,AG11/AF11,0)</f>
        <v>0.93877551020408168</v>
      </c>
      <c r="AI11" s="28">
        <f>COUNTIFS($N$16:$N$126,"Company Match",$X$16:$X$126,TRUE,$L$16:$L$126,"&lt;&gt;master_ratings")</f>
        <v>23</v>
      </c>
      <c r="AJ11" s="29">
        <f>IF(COUNTIFS($N$16:$N$126,"Company Match",$L$16:$L$126,"&lt;&gt;master_ratings")&gt;0,AI11/COUNTIFS($N$16:$N$126,"Company Match",$L$16:$L$126,"&lt;&gt;master_ratings"),0)</f>
        <v>0.57499999999999996</v>
      </c>
    </row>
    <row r="12" spans="1:47">
      <c r="AE12" s="26" t="s">
        <v>31</v>
      </c>
      <c r="AF12" s="28">
        <f>COUNTIF($N$16:$N$126,"Security Match")</f>
        <v>31</v>
      </c>
      <c r="AG12" s="28">
        <f>COUNTIFS($N$16:$N$110,"Security Match",$S$16:$S$110,TRUE)</f>
        <v>31</v>
      </c>
      <c r="AH12" s="29">
        <f>IF(AF12&gt;0,AG12/AF12,0)</f>
        <v>1</v>
      </c>
      <c r="AI12" s="28">
        <f>COUNTIFS($N$16:$N$126,"Security Match",$X$16:$X$126,TRUE,$L$16:$L$126,"&lt;&gt;master_ratings")</f>
        <v>17</v>
      </c>
      <c r="AJ12" s="29">
        <f>IF(COUNTIFS($N$16:$N$126,"Security Match",$L$16:$L$126,"&lt;&gt;master_ratings")&gt;0,AI12/COUNTIFS($N$16:$N$126,"Security Match",$L$16:$L$126,"&lt;&gt;master_ratings"),0)</f>
        <v>0.54838709677419351</v>
      </c>
    </row>
    <row r="13" spans="1:47">
      <c r="AE13" s="27" t="s">
        <v>985</v>
      </c>
      <c r="AF13" s="30">
        <f>SUM(AF11:AF12,AF14)</f>
        <v>95</v>
      </c>
      <c r="AG13" s="30">
        <f>SUM(AG11:AG12,AG14)</f>
        <v>83</v>
      </c>
      <c r="AH13" s="31">
        <f>IF(AF13&gt;0,AG13/AF13,0)</f>
        <v>0.87368421052631584</v>
      </c>
      <c r="AI13" s="30">
        <f>SUM(AI11:AI12,AI14)</f>
        <v>43</v>
      </c>
      <c r="AJ13" s="31">
        <f>IF(SUM(COUNTIFS($N$16:$N$126,"Company Match",$L$16:$L$126,"&lt;&gt;master_ratings"),COUNTIFS($N$16:$N$126,"Security Match",$L$16:$L$126,"&lt;&gt;master_ratings"),COUNTIFS($N$16:$N$126,"Company Knowledge Match",$L$16:$L$126,"&lt;&gt;master_ratings"))&gt;0,AI13/SUM(COUNTIFS($N$16:$N$126,"Company Match",$L$16:$L$126,"&lt;&gt;master_ratings"),COUNTIFS($N$16:$N$126,"Security Match",$L$16:$L$126,"&lt;&gt;master_ratings"),COUNTIFS($N$16:$N$126,"Company Knowledge Match",$L$16:$L$126,"&lt;&gt;master_ratings")),0)</f>
        <v>0.5</v>
      </c>
    </row>
    <row r="14" spans="1:47">
      <c r="AE14" s="26" t="s">
        <v>49</v>
      </c>
      <c r="AF14" s="28">
        <f>COUNTIF($N$16:$N$126,"Company Knowledge Match")</f>
        <v>15</v>
      </c>
      <c r="AG14" s="28">
        <f>COUNTIFS($N$16:$N$110,"Company Knowledge Match",$S$16:$S$110,TRUE)</f>
        <v>6</v>
      </c>
      <c r="AH14" s="29">
        <f>IF(AF14&gt;0,AG14/AF14,0)</f>
        <v>0.4</v>
      </c>
      <c r="AI14" s="28">
        <f>COUNTIFS($N$16:$N$126,"Company Knowledge Match",$X$16:$X$126,TRUE,$L$16:$L$126,"&lt;&gt;master_ratings")</f>
        <v>3</v>
      </c>
      <c r="AJ14" s="29">
        <f>IF(COUNTIFS($N$16:$N$126,"Company Knowledge Match",$L$16:$L$126,"&lt;&gt;master_ratings")&gt;0,AI14/COUNTIFS($N$16:$N$126,"Company Knowledge Match",$L$16:$L$126,"&lt;&gt;master_ratings"),0)</f>
        <v>0.2</v>
      </c>
    </row>
    <row r="15" spans="1:47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8" t="s">
        <v>698</v>
      </c>
      <c r="Q15" s="9" t="s">
        <v>878</v>
      </c>
      <c r="R15" s="9" t="s">
        <v>879</v>
      </c>
      <c r="S15" s="9" t="s">
        <v>880</v>
      </c>
      <c r="T15" s="9" t="s">
        <v>882</v>
      </c>
      <c r="U15" s="45" t="s">
        <v>883</v>
      </c>
      <c r="V15" s="9" t="s">
        <v>1104</v>
      </c>
      <c r="W15" s="9" t="s">
        <v>1105</v>
      </c>
      <c r="X15" s="9" t="s">
        <v>1106</v>
      </c>
      <c r="Y15" s="9" t="s">
        <v>1107</v>
      </c>
      <c r="Z15" s="9" t="s">
        <v>1108</v>
      </c>
      <c r="AA15" s="9" t="s">
        <v>1109</v>
      </c>
      <c r="AB15" s="9" t="s">
        <v>1110</v>
      </c>
      <c r="AC15" s="9" t="s">
        <v>1111</v>
      </c>
      <c r="AD15" s="10" t="s">
        <v>705</v>
      </c>
    </row>
    <row r="16" spans="1:47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16</v>
      </c>
      <c r="G16" t="s">
        <v>21</v>
      </c>
      <c r="H16" t="s">
        <v>22</v>
      </c>
      <c r="L16" t="s">
        <v>23</v>
      </c>
      <c r="M16" t="s">
        <v>24</v>
      </c>
      <c r="N16" t="s">
        <v>25</v>
      </c>
      <c r="P16" s="11" t="s">
        <v>16</v>
      </c>
      <c r="Q16" s="12" t="s">
        <v>17</v>
      </c>
      <c r="R16" s="12" t="s">
        <v>1285</v>
      </c>
      <c r="S16" s="12" t="b">
        <v>0</v>
      </c>
      <c r="T16" s="12" t="b">
        <v>1</v>
      </c>
      <c r="U16" s="12">
        <v>3</v>
      </c>
      <c r="V16" s="12" t="s">
        <v>18</v>
      </c>
      <c r="W16" s="12" t="s">
        <v>18</v>
      </c>
      <c r="X16" s="12" t="b">
        <v>1</v>
      </c>
      <c r="Y16" s="12" t="b">
        <v>1</v>
      </c>
      <c r="Z16" s="12">
        <v>1</v>
      </c>
      <c r="AA16" s="12">
        <v>0.90549999999999997</v>
      </c>
      <c r="AB16" s="12" t="s">
        <v>1287</v>
      </c>
      <c r="AC16" s="12" t="s">
        <v>1524</v>
      </c>
      <c r="AD16" s="13" t="b">
        <v>1</v>
      </c>
    </row>
    <row r="17" spans="1:38">
      <c r="A17" t="s">
        <v>26</v>
      </c>
      <c r="B17" t="s">
        <v>27</v>
      </c>
      <c r="C17" t="s">
        <v>28</v>
      </c>
      <c r="D17" t="s">
        <v>19</v>
      </c>
      <c r="E17" t="s">
        <v>20</v>
      </c>
      <c r="F17" t="s">
        <v>29</v>
      </c>
      <c r="G17" t="s">
        <v>30</v>
      </c>
      <c r="L17" t="s">
        <v>23</v>
      </c>
      <c r="M17" t="s">
        <v>24</v>
      </c>
      <c r="N17" t="s">
        <v>31</v>
      </c>
      <c r="P17" s="11" t="s">
        <v>29</v>
      </c>
      <c r="Q17" s="12" t="s">
        <v>27</v>
      </c>
      <c r="R17" s="12" t="s">
        <v>27</v>
      </c>
      <c r="S17" s="12" t="b">
        <v>1</v>
      </c>
      <c r="T17" s="12" t="b">
        <v>1</v>
      </c>
      <c r="U17" s="12">
        <v>1</v>
      </c>
      <c r="V17" s="12" t="s">
        <v>28</v>
      </c>
      <c r="W17" s="12" t="s">
        <v>181</v>
      </c>
      <c r="X17" s="12" t="b">
        <v>0</v>
      </c>
      <c r="Y17" s="12" t="b">
        <v>1</v>
      </c>
      <c r="Z17" s="12">
        <v>2</v>
      </c>
      <c r="AA17" s="12">
        <v>0.97519999999999996</v>
      </c>
      <c r="AB17" s="12" t="s">
        <v>1289</v>
      </c>
      <c r="AC17" s="12" t="s">
        <v>1525</v>
      </c>
      <c r="AD17" s="13" t="b">
        <v>1</v>
      </c>
    </row>
    <row r="18" spans="1:38">
      <c r="A18" t="s">
        <v>32</v>
      </c>
      <c r="B18" t="s">
        <v>33</v>
      </c>
      <c r="C18" t="s">
        <v>34</v>
      </c>
      <c r="D18" t="s">
        <v>19</v>
      </c>
      <c r="E18" t="s">
        <v>20</v>
      </c>
      <c r="F18" t="s">
        <v>32</v>
      </c>
      <c r="G18" t="s">
        <v>35</v>
      </c>
      <c r="H18" t="s">
        <v>22</v>
      </c>
      <c r="I18" t="s">
        <v>36</v>
      </c>
      <c r="L18" t="s">
        <v>23</v>
      </c>
      <c r="M18" t="s">
        <v>24</v>
      </c>
      <c r="N18" t="s">
        <v>31</v>
      </c>
      <c r="P18" s="11" t="s">
        <v>32</v>
      </c>
      <c r="Q18" s="12" t="s">
        <v>33</v>
      </c>
      <c r="R18" s="12" t="s">
        <v>33</v>
      </c>
      <c r="S18" s="12" t="b">
        <v>1</v>
      </c>
      <c r="T18" s="12" t="b">
        <v>1</v>
      </c>
      <c r="U18" s="12">
        <v>1</v>
      </c>
      <c r="V18" s="12" t="s">
        <v>34</v>
      </c>
      <c r="W18" s="12" t="s">
        <v>34</v>
      </c>
      <c r="X18" s="12" t="b">
        <v>1</v>
      </c>
      <c r="Y18" s="12" t="b">
        <v>1</v>
      </c>
      <c r="Z18" s="12">
        <v>1</v>
      </c>
      <c r="AA18" s="12">
        <v>1.0841000000000001</v>
      </c>
      <c r="AB18" s="12" t="s">
        <v>1290</v>
      </c>
      <c r="AC18" s="12" t="s">
        <v>1526</v>
      </c>
      <c r="AD18" s="13" t="b">
        <v>1</v>
      </c>
      <c r="AL18" t="s">
        <v>1132</v>
      </c>
    </row>
    <row r="19" spans="1:38">
      <c r="A19" t="s">
        <v>37</v>
      </c>
      <c r="B19" t="s">
        <v>38</v>
      </c>
      <c r="C19" t="s">
        <v>39</v>
      </c>
      <c r="D19" t="s">
        <v>19</v>
      </c>
      <c r="E19" t="s">
        <v>20</v>
      </c>
      <c r="F19" t="s">
        <v>37</v>
      </c>
      <c r="G19" t="s">
        <v>40</v>
      </c>
      <c r="H19" t="s">
        <v>22</v>
      </c>
      <c r="L19" t="s">
        <v>23</v>
      </c>
      <c r="M19" t="s">
        <v>24</v>
      </c>
      <c r="N19" t="s">
        <v>31</v>
      </c>
      <c r="P19" s="11" t="s">
        <v>37</v>
      </c>
      <c r="Q19" s="12" t="s">
        <v>38</v>
      </c>
      <c r="R19" s="12" t="s">
        <v>38</v>
      </c>
      <c r="S19" s="12" t="b">
        <v>1</v>
      </c>
      <c r="T19" s="12" t="b">
        <v>1</v>
      </c>
      <c r="U19" s="12">
        <v>1</v>
      </c>
      <c r="V19" s="12" t="s">
        <v>39</v>
      </c>
      <c r="W19" s="12" t="s">
        <v>39</v>
      </c>
      <c r="X19" s="12" t="b">
        <v>1</v>
      </c>
      <c r="Y19" s="12" t="b">
        <v>1</v>
      </c>
      <c r="Z19" s="12">
        <v>1</v>
      </c>
      <c r="AA19" s="12">
        <v>0.9</v>
      </c>
      <c r="AB19" s="12" t="s">
        <v>989</v>
      </c>
      <c r="AC19" s="12" t="s">
        <v>1527</v>
      </c>
      <c r="AD19" s="13" t="b">
        <v>1</v>
      </c>
    </row>
    <row r="20" spans="1:38">
      <c r="A20" t="s">
        <v>41</v>
      </c>
      <c r="B20" t="s">
        <v>42</v>
      </c>
      <c r="C20" t="s">
        <v>43</v>
      </c>
      <c r="D20" t="s">
        <v>44</v>
      </c>
      <c r="E20" t="s">
        <v>20</v>
      </c>
      <c r="F20" t="s">
        <v>45</v>
      </c>
      <c r="G20" t="s">
        <v>46</v>
      </c>
      <c r="H20" t="s">
        <v>47</v>
      </c>
      <c r="I20" t="s">
        <v>48</v>
      </c>
      <c r="L20" t="s">
        <v>23</v>
      </c>
      <c r="M20" t="s">
        <v>24</v>
      </c>
      <c r="N20" s="2" t="s">
        <v>49</v>
      </c>
      <c r="P20" s="11" t="s">
        <v>45</v>
      </c>
      <c r="Q20" s="12" t="s">
        <v>42</v>
      </c>
      <c r="R20" s="12" t="s">
        <v>42</v>
      </c>
      <c r="S20" s="12" t="b">
        <v>1</v>
      </c>
      <c r="T20" s="12" t="b">
        <v>1</v>
      </c>
      <c r="U20" s="12">
        <v>1</v>
      </c>
      <c r="V20" s="12" t="s">
        <v>43</v>
      </c>
      <c r="W20" s="12" t="s">
        <v>43</v>
      </c>
      <c r="X20" s="12" t="b">
        <v>1</v>
      </c>
      <c r="Y20" s="12" t="b">
        <v>1</v>
      </c>
      <c r="Z20" s="12">
        <v>1</v>
      </c>
      <c r="AA20" s="12">
        <v>0.7712</v>
      </c>
      <c r="AB20" s="12" t="s">
        <v>42</v>
      </c>
      <c r="AC20" s="12" t="s">
        <v>1528</v>
      </c>
      <c r="AD20" s="13" t="b">
        <v>1</v>
      </c>
    </row>
    <row r="21" spans="1:38">
      <c r="A21" t="s">
        <v>41</v>
      </c>
      <c r="B21" t="s">
        <v>42</v>
      </c>
      <c r="C21" t="s">
        <v>50</v>
      </c>
      <c r="D21" t="s">
        <v>19</v>
      </c>
      <c r="E21" t="s">
        <v>20</v>
      </c>
      <c r="F21" t="s">
        <v>45</v>
      </c>
      <c r="G21" t="s">
        <v>51</v>
      </c>
      <c r="H21" t="s">
        <v>22</v>
      </c>
      <c r="I21" t="s">
        <v>52</v>
      </c>
      <c r="L21" t="s">
        <v>23</v>
      </c>
      <c r="M21" t="s">
        <v>24</v>
      </c>
      <c r="N21" s="2" t="s">
        <v>49</v>
      </c>
      <c r="P21" s="11" t="s">
        <v>45</v>
      </c>
      <c r="Q21" s="12" t="s">
        <v>42</v>
      </c>
      <c r="R21" s="12" t="s">
        <v>42</v>
      </c>
      <c r="S21" s="12" t="b">
        <v>1</v>
      </c>
      <c r="T21" s="12" t="b">
        <v>1</v>
      </c>
      <c r="U21" s="12">
        <v>1</v>
      </c>
      <c r="V21" s="12" t="s">
        <v>50</v>
      </c>
      <c r="W21" s="12" t="s">
        <v>50</v>
      </c>
      <c r="X21" s="12" t="b">
        <v>1</v>
      </c>
      <c r="Y21" s="12" t="b">
        <v>1</v>
      </c>
      <c r="Z21" s="12">
        <v>1</v>
      </c>
      <c r="AA21" s="12">
        <v>1.0711999999999999</v>
      </c>
      <c r="AB21" s="12" t="s">
        <v>42</v>
      </c>
      <c r="AC21" s="12" t="s">
        <v>1529</v>
      </c>
      <c r="AD21" s="13" t="b">
        <v>1</v>
      </c>
    </row>
    <row r="22" spans="1:38">
      <c r="A22" t="s">
        <v>53</v>
      </c>
      <c r="B22" t="s">
        <v>54</v>
      </c>
      <c r="C22" t="s">
        <v>55</v>
      </c>
      <c r="D22" t="s">
        <v>19</v>
      </c>
      <c r="E22" t="s">
        <v>20</v>
      </c>
      <c r="F22" t="s">
        <v>53</v>
      </c>
      <c r="G22" t="s">
        <v>56</v>
      </c>
      <c r="H22" t="s">
        <v>22</v>
      </c>
      <c r="I22" t="s">
        <v>57</v>
      </c>
      <c r="L22" t="s">
        <v>23</v>
      </c>
      <c r="M22" t="s">
        <v>24</v>
      </c>
      <c r="N22" t="s">
        <v>25</v>
      </c>
      <c r="P22" s="11" t="s">
        <v>53</v>
      </c>
      <c r="Q22" s="12" t="s">
        <v>54</v>
      </c>
      <c r="R22" s="12" t="s">
        <v>54</v>
      </c>
      <c r="S22" s="12" t="b">
        <v>1</v>
      </c>
      <c r="T22" s="12" t="b">
        <v>1</v>
      </c>
      <c r="U22" s="12">
        <v>1</v>
      </c>
      <c r="V22" s="12" t="s">
        <v>55</v>
      </c>
      <c r="W22" s="12" t="s">
        <v>55</v>
      </c>
      <c r="X22" s="12" t="b">
        <v>1</v>
      </c>
      <c r="Y22" s="12" t="b">
        <v>1</v>
      </c>
      <c r="Z22" s="12">
        <v>1</v>
      </c>
      <c r="AA22" s="12">
        <v>1.1528</v>
      </c>
      <c r="AB22" s="12" t="s">
        <v>1292</v>
      </c>
      <c r="AC22" s="12" t="s">
        <v>1530</v>
      </c>
      <c r="AD22" s="13" t="b">
        <v>1</v>
      </c>
    </row>
    <row r="23" spans="1:38">
      <c r="A23" t="s">
        <v>58</v>
      </c>
      <c r="B23" t="s">
        <v>59</v>
      </c>
      <c r="C23" t="s">
        <v>60</v>
      </c>
      <c r="D23" t="s">
        <v>44</v>
      </c>
      <c r="E23" t="s">
        <v>20</v>
      </c>
      <c r="F23" t="s">
        <v>1132</v>
      </c>
      <c r="G23" t="s">
        <v>62</v>
      </c>
      <c r="H23" t="s">
        <v>47</v>
      </c>
      <c r="L23" t="s">
        <v>23</v>
      </c>
      <c r="M23" t="s">
        <v>24</v>
      </c>
      <c r="N23" t="s">
        <v>25</v>
      </c>
      <c r="P23" s="11" t="s">
        <v>61</v>
      </c>
      <c r="Q23" s="12" t="s">
        <v>59</v>
      </c>
      <c r="R23" s="12" t="s">
        <v>59</v>
      </c>
      <c r="S23" s="12" t="b">
        <v>1</v>
      </c>
      <c r="T23" s="12" t="b">
        <v>1</v>
      </c>
      <c r="U23" s="12">
        <v>1</v>
      </c>
      <c r="V23" s="12" t="s">
        <v>60</v>
      </c>
      <c r="W23" s="12" t="s">
        <v>60</v>
      </c>
      <c r="X23" s="12" t="b">
        <v>1</v>
      </c>
      <c r="Y23" s="12" t="b">
        <v>1</v>
      </c>
      <c r="Z23" s="12">
        <v>1</v>
      </c>
      <c r="AA23" s="12">
        <v>0.84960000000000002</v>
      </c>
      <c r="AB23" s="12" t="s">
        <v>59</v>
      </c>
      <c r="AC23" s="12" t="s">
        <v>1293</v>
      </c>
      <c r="AD23" s="13" t="b">
        <v>1</v>
      </c>
    </row>
    <row r="24" spans="1:38">
      <c r="A24" t="s">
        <v>63</v>
      </c>
      <c r="B24" t="s">
        <v>64</v>
      </c>
      <c r="C24" t="s">
        <v>65</v>
      </c>
      <c r="D24" t="s">
        <v>19</v>
      </c>
      <c r="E24" t="s">
        <v>20</v>
      </c>
      <c r="F24" t="s">
        <v>66</v>
      </c>
      <c r="G24" t="s">
        <v>67</v>
      </c>
      <c r="H24" t="s">
        <v>22</v>
      </c>
      <c r="L24" t="s">
        <v>23</v>
      </c>
      <c r="M24" t="s">
        <v>24</v>
      </c>
      <c r="N24" t="s">
        <v>31</v>
      </c>
      <c r="P24" s="11" t="s">
        <v>66</v>
      </c>
      <c r="Q24" s="12" t="s">
        <v>64</v>
      </c>
      <c r="R24" s="12" t="s">
        <v>64</v>
      </c>
      <c r="S24" s="12" t="b">
        <v>1</v>
      </c>
      <c r="T24" s="12" t="b">
        <v>1</v>
      </c>
      <c r="U24" s="12">
        <v>1</v>
      </c>
      <c r="V24" s="12" t="s">
        <v>65</v>
      </c>
      <c r="W24" s="12" t="s">
        <v>65</v>
      </c>
      <c r="X24" s="12" t="b">
        <v>1</v>
      </c>
      <c r="Y24" s="12" t="b">
        <v>1</v>
      </c>
      <c r="Z24" s="12">
        <v>1</v>
      </c>
      <c r="AA24" s="12">
        <v>1.1831</v>
      </c>
      <c r="AB24" s="12" t="s">
        <v>64</v>
      </c>
      <c r="AC24" s="12" t="s">
        <v>1137</v>
      </c>
      <c r="AD24" s="13" t="b">
        <v>1</v>
      </c>
    </row>
    <row r="25" spans="1:38">
      <c r="A25" t="s">
        <v>68</v>
      </c>
      <c r="B25" t="s">
        <v>69</v>
      </c>
      <c r="C25" t="s">
        <v>70</v>
      </c>
      <c r="D25" t="s">
        <v>19</v>
      </c>
      <c r="E25" t="s">
        <v>20</v>
      </c>
      <c r="F25" t="s">
        <v>71</v>
      </c>
      <c r="G25" t="s">
        <v>72</v>
      </c>
      <c r="H25" t="s">
        <v>22</v>
      </c>
      <c r="I25" t="s">
        <v>73</v>
      </c>
      <c r="L25" t="s">
        <v>23</v>
      </c>
      <c r="M25" t="s">
        <v>24</v>
      </c>
      <c r="N25" t="s">
        <v>25</v>
      </c>
      <c r="P25" s="11" t="s">
        <v>71</v>
      </c>
      <c r="Q25" s="12" t="s">
        <v>69</v>
      </c>
      <c r="R25" s="12" t="s">
        <v>69</v>
      </c>
      <c r="S25" s="12" t="b">
        <v>1</v>
      </c>
      <c r="T25" s="12" t="b">
        <v>1</v>
      </c>
      <c r="U25" s="12">
        <v>1</v>
      </c>
      <c r="V25" s="12" t="s">
        <v>70</v>
      </c>
      <c r="W25" s="12" t="s">
        <v>70</v>
      </c>
      <c r="X25" s="12" t="b">
        <v>1</v>
      </c>
      <c r="Y25" s="12" t="b">
        <v>1</v>
      </c>
      <c r="Z25" s="12">
        <v>1</v>
      </c>
      <c r="AA25" s="12">
        <v>1.1133999999999999</v>
      </c>
      <c r="AB25" s="12" t="s">
        <v>1294</v>
      </c>
      <c r="AC25" s="12" t="s">
        <v>1531</v>
      </c>
      <c r="AD25" s="13" t="b">
        <v>1</v>
      </c>
    </row>
    <row r="26" spans="1:38">
      <c r="A26" t="s">
        <v>68</v>
      </c>
      <c r="B26" t="s">
        <v>69</v>
      </c>
      <c r="C26" t="s">
        <v>70</v>
      </c>
      <c r="D26" t="s">
        <v>19</v>
      </c>
      <c r="E26" t="s">
        <v>20</v>
      </c>
      <c r="F26" t="s">
        <v>74</v>
      </c>
      <c r="G26" t="s">
        <v>75</v>
      </c>
      <c r="H26" t="s">
        <v>22</v>
      </c>
      <c r="I26" t="s">
        <v>73</v>
      </c>
      <c r="L26" t="s">
        <v>23</v>
      </c>
      <c r="M26" t="s">
        <v>24</v>
      </c>
      <c r="N26" t="s">
        <v>31</v>
      </c>
      <c r="P26" s="11" t="s">
        <v>74</v>
      </c>
      <c r="Q26" s="12" t="s">
        <v>69</v>
      </c>
      <c r="R26" s="12" t="s">
        <v>69</v>
      </c>
      <c r="S26" s="12" t="b">
        <v>1</v>
      </c>
      <c r="T26" s="12" t="b">
        <v>1</v>
      </c>
      <c r="U26" s="12">
        <v>1</v>
      </c>
      <c r="V26" s="12" t="s">
        <v>70</v>
      </c>
      <c r="W26" s="12" t="s">
        <v>1532</v>
      </c>
      <c r="X26" s="12" t="b">
        <v>0</v>
      </c>
      <c r="Y26" s="12" t="b">
        <v>1</v>
      </c>
      <c r="Z26" s="12">
        <v>3</v>
      </c>
      <c r="AA26" s="12">
        <v>1.0499000000000001</v>
      </c>
      <c r="AB26" s="12" t="s">
        <v>1295</v>
      </c>
      <c r="AC26" s="12" t="s">
        <v>1533</v>
      </c>
      <c r="AD26" s="13" t="b">
        <v>1</v>
      </c>
    </row>
    <row r="27" spans="1:38">
      <c r="A27" t="s">
        <v>76</v>
      </c>
      <c r="B27" t="s">
        <v>77</v>
      </c>
      <c r="C27" t="s">
        <v>78</v>
      </c>
      <c r="D27" t="s">
        <v>79</v>
      </c>
      <c r="E27" t="s">
        <v>20</v>
      </c>
      <c r="F27" t="s">
        <v>80</v>
      </c>
      <c r="G27" t="s">
        <v>81</v>
      </c>
      <c r="H27" t="s">
        <v>82</v>
      </c>
      <c r="L27" t="s">
        <v>23</v>
      </c>
      <c r="M27" t="s">
        <v>24</v>
      </c>
      <c r="N27" t="s">
        <v>31</v>
      </c>
      <c r="P27" s="11" t="s">
        <v>80</v>
      </c>
      <c r="Q27" s="12" t="s">
        <v>77</v>
      </c>
      <c r="R27" s="12" t="s">
        <v>77</v>
      </c>
      <c r="S27" s="12" t="b">
        <v>1</v>
      </c>
      <c r="T27" s="12" t="b">
        <v>1</v>
      </c>
      <c r="U27" s="12">
        <v>1</v>
      </c>
      <c r="V27" s="12" t="s">
        <v>78</v>
      </c>
      <c r="W27" s="12" t="s">
        <v>1143</v>
      </c>
      <c r="X27" s="12" t="b">
        <v>0</v>
      </c>
      <c r="Y27" s="12" t="b">
        <v>1</v>
      </c>
      <c r="Z27" s="12">
        <v>3</v>
      </c>
      <c r="AA27" s="12">
        <v>1</v>
      </c>
      <c r="AB27" s="12" t="s">
        <v>77</v>
      </c>
      <c r="AC27" s="12" t="s">
        <v>1534</v>
      </c>
      <c r="AD27" s="13" t="b">
        <v>1</v>
      </c>
    </row>
    <row r="28" spans="1:38">
      <c r="A28" t="s">
        <v>83</v>
      </c>
      <c r="B28" t="s">
        <v>84</v>
      </c>
      <c r="C28" t="s">
        <v>85</v>
      </c>
      <c r="D28" t="s">
        <v>79</v>
      </c>
      <c r="E28" t="s">
        <v>20</v>
      </c>
      <c r="F28" t="s">
        <v>86</v>
      </c>
      <c r="G28" t="s">
        <v>87</v>
      </c>
      <c r="H28" t="s">
        <v>82</v>
      </c>
      <c r="L28" t="s">
        <v>23</v>
      </c>
      <c r="M28" t="s">
        <v>24</v>
      </c>
      <c r="N28" t="s">
        <v>25</v>
      </c>
      <c r="P28" s="11" t="s">
        <v>86</v>
      </c>
      <c r="Q28" s="12" t="s">
        <v>84</v>
      </c>
      <c r="R28" s="12" t="s">
        <v>84</v>
      </c>
      <c r="S28" s="12" t="b">
        <v>1</v>
      </c>
      <c r="T28" s="12" t="b">
        <v>1</v>
      </c>
      <c r="U28" s="12">
        <v>1</v>
      </c>
      <c r="V28" s="12" t="s">
        <v>85</v>
      </c>
      <c r="W28" s="12" t="s">
        <v>139</v>
      </c>
      <c r="X28" s="12" t="b">
        <v>0</v>
      </c>
      <c r="Y28" s="12" t="b">
        <v>1</v>
      </c>
      <c r="Z28" s="12">
        <v>3</v>
      </c>
      <c r="AA28" s="12">
        <v>0.89270000000000005</v>
      </c>
      <c r="AB28" s="12" t="s">
        <v>1296</v>
      </c>
      <c r="AC28" s="12" t="s">
        <v>1535</v>
      </c>
      <c r="AD28" s="13" t="b">
        <v>1</v>
      </c>
    </row>
    <row r="29" spans="1:38">
      <c r="A29" t="s">
        <v>88</v>
      </c>
      <c r="B29" t="s">
        <v>89</v>
      </c>
      <c r="C29" t="s">
        <v>90</v>
      </c>
      <c r="D29" t="s">
        <v>19</v>
      </c>
      <c r="E29" t="s">
        <v>20</v>
      </c>
      <c r="F29" t="s">
        <v>91</v>
      </c>
      <c r="G29" t="s">
        <v>92</v>
      </c>
      <c r="H29" t="s">
        <v>22</v>
      </c>
      <c r="I29" t="s">
        <v>93</v>
      </c>
      <c r="L29" t="s">
        <v>23</v>
      </c>
      <c r="M29" t="s">
        <v>24</v>
      </c>
      <c r="N29" t="s">
        <v>31</v>
      </c>
      <c r="P29" s="11" t="s">
        <v>91</v>
      </c>
      <c r="Q29" s="12" t="s">
        <v>89</v>
      </c>
      <c r="R29" s="12" t="s">
        <v>89</v>
      </c>
      <c r="S29" s="12" t="b">
        <v>1</v>
      </c>
      <c r="T29" s="12" t="b">
        <v>1</v>
      </c>
      <c r="U29" s="12">
        <v>1</v>
      </c>
      <c r="V29" s="12" t="s">
        <v>90</v>
      </c>
      <c r="W29" s="12" t="s">
        <v>90</v>
      </c>
      <c r="X29" s="12" t="b">
        <v>1</v>
      </c>
      <c r="Y29" s="12" t="b">
        <v>1</v>
      </c>
      <c r="Z29" s="12">
        <v>1</v>
      </c>
      <c r="AA29" s="12">
        <v>1.2</v>
      </c>
      <c r="AB29" s="12" t="s">
        <v>994</v>
      </c>
      <c r="AC29" s="12" t="s">
        <v>1536</v>
      </c>
      <c r="AD29" s="13" t="b">
        <v>1</v>
      </c>
    </row>
    <row r="30" spans="1:38">
      <c r="A30" t="s">
        <v>94</v>
      </c>
      <c r="B30" t="s">
        <v>95</v>
      </c>
      <c r="C30" t="s">
        <v>96</v>
      </c>
      <c r="D30" t="s">
        <v>44</v>
      </c>
      <c r="E30" t="s">
        <v>20</v>
      </c>
      <c r="F30" t="s">
        <v>94</v>
      </c>
      <c r="G30" t="s">
        <v>97</v>
      </c>
      <c r="H30" t="s">
        <v>47</v>
      </c>
      <c r="I30" t="s">
        <v>98</v>
      </c>
      <c r="L30" t="s">
        <v>23</v>
      </c>
      <c r="M30" t="s">
        <v>24</v>
      </c>
      <c r="N30" t="s">
        <v>25</v>
      </c>
      <c r="P30" s="11" t="s">
        <v>94</v>
      </c>
      <c r="Q30" s="12" t="s">
        <v>95</v>
      </c>
      <c r="R30" s="12" t="s">
        <v>95</v>
      </c>
      <c r="S30" s="12" t="b">
        <v>1</v>
      </c>
      <c r="T30" s="12" t="b">
        <v>1</v>
      </c>
      <c r="U30" s="12">
        <v>1</v>
      </c>
      <c r="V30" s="12" t="s">
        <v>96</v>
      </c>
      <c r="W30" s="12" t="s">
        <v>96</v>
      </c>
      <c r="X30" s="12" t="b">
        <v>1</v>
      </c>
      <c r="Y30" s="12" t="b">
        <v>1</v>
      </c>
      <c r="Z30" s="12">
        <v>1</v>
      </c>
      <c r="AA30" s="12">
        <v>1.2255</v>
      </c>
      <c r="AB30" s="12" t="s">
        <v>1297</v>
      </c>
      <c r="AC30" s="12" t="s">
        <v>1537</v>
      </c>
      <c r="AD30" s="13" t="b">
        <v>1</v>
      </c>
    </row>
    <row r="31" spans="1:38">
      <c r="A31" t="s">
        <v>99</v>
      </c>
      <c r="B31" t="s">
        <v>100</v>
      </c>
      <c r="C31" t="s">
        <v>101</v>
      </c>
      <c r="D31" t="s">
        <v>44</v>
      </c>
      <c r="E31" t="s">
        <v>20</v>
      </c>
      <c r="F31" t="s">
        <v>102</v>
      </c>
      <c r="G31" t="s">
        <v>103</v>
      </c>
      <c r="H31" t="s">
        <v>47</v>
      </c>
      <c r="I31" t="s">
        <v>104</v>
      </c>
      <c r="L31" t="s">
        <v>23</v>
      </c>
      <c r="M31" t="s">
        <v>24</v>
      </c>
      <c r="N31" t="s">
        <v>31</v>
      </c>
      <c r="P31" s="11" t="s">
        <v>102</v>
      </c>
      <c r="Q31" s="12" t="s">
        <v>100</v>
      </c>
      <c r="R31" s="12" t="s">
        <v>100</v>
      </c>
      <c r="S31" s="12" t="b">
        <v>1</v>
      </c>
      <c r="T31" s="12" t="b">
        <v>1</v>
      </c>
      <c r="U31" s="12">
        <v>1</v>
      </c>
      <c r="V31" s="12" t="s">
        <v>101</v>
      </c>
      <c r="W31" s="12" t="s">
        <v>101</v>
      </c>
      <c r="X31" s="12" t="b">
        <v>1</v>
      </c>
      <c r="Y31" s="12" t="b">
        <v>1</v>
      </c>
      <c r="Z31" s="12">
        <v>1</v>
      </c>
      <c r="AA31" s="12">
        <v>1</v>
      </c>
      <c r="AB31" s="12" t="s">
        <v>1298</v>
      </c>
      <c r="AC31" s="12" t="s">
        <v>1538</v>
      </c>
      <c r="AD31" s="13" t="b">
        <v>1</v>
      </c>
    </row>
    <row r="32" spans="1:38">
      <c r="A32" t="s">
        <v>105</v>
      </c>
      <c r="B32" t="s">
        <v>106</v>
      </c>
      <c r="C32" t="s">
        <v>107</v>
      </c>
      <c r="D32" t="s">
        <v>19</v>
      </c>
      <c r="E32" t="s">
        <v>20</v>
      </c>
      <c r="F32" t="s">
        <v>108</v>
      </c>
      <c r="G32" t="s">
        <v>109</v>
      </c>
      <c r="H32" t="s">
        <v>22</v>
      </c>
      <c r="I32" t="s">
        <v>110</v>
      </c>
      <c r="L32" t="s">
        <v>23</v>
      </c>
      <c r="M32" t="s">
        <v>24</v>
      </c>
      <c r="N32" t="s">
        <v>25</v>
      </c>
      <c r="P32" s="11" t="s">
        <v>108</v>
      </c>
      <c r="Q32" s="12" t="s">
        <v>106</v>
      </c>
      <c r="R32" s="12" t="s">
        <v>106</v>
      </c>
      <c r="S32" s="12" t="b">
        <v>1</v>
      </c>
      <c r="T32" s="12" t="b">
        <v>1</v>
      </c>
      <c r="U32" s="12">
        <v>1</v>
      </c>
      <c r="V32" s="12" t="s">
        <v>107</v>
      </c>
      <c r="W32" s="12" t="s">
        <v>107</v>
      </c>
      <c r="X32" s="12" t="b">
        <v>1</v>
      </c>
      <c r="Y32" s="12" t="b">
        <v>1</v>
      </c>
      <c r="Z32" s="12">
        <v>1</v>
      </c>
      <c r="AA32" s="12">
        <v>1.1232</v>
      </c>
      <c r="AB32" s="12" t="s">
        <v>997</v>
      </c>
      <c r="AC32" s="12" t="s">
        <v>1539</v>
      </c>
      <c r="AD32" s="13" t="b">
        <v>1</v>
      </c>
    </row>
    <row r="33" spans="1:30">
      <c r="A33" t="s">
        <v>111</v>
      </c>
      <c r="B33" t="s">
        <v>112</v>
      </c>
      <c r="C33" t="s">
        <v>113</v>
      </c>
      <c r="D33" t="s">
        <v>19</v>
      </c>
      <c r="E33" t="s">
        <v>20</v>
      </c>
      <c r="F33" t="s">
        <v>111</v>
      </c>
      <c r="G33" t="s">
        <v>114</v>
      </c>
      <c r="H33" t="s">
        <v>22</v>
      </c>
      <c r="L33" t="s">
        <v>23</v>
      </c>
      <c r="M33" t="s">
        <v>24</v>
      </c>
      <c r="N33" t="s">
        <v>25</v>
      </c>
      <c r="P33" s="11" t="s">
        <v>111</v>
      </c>
      <c r="Q33" s="12" t="s">
        <v>112</v>
      </c>
      <c r="R33" s="12" t="s">
        <v>112</v>
      </c>
      <c r="S33" s="12" t="b">
        <v>1</v>
      </c>
      <c r="T33" s="12" t="b">
        <v>1</v>
      </c>
      <c r="U33" s="12">
        <v>1</v>
      </c>
      <c r="V33" s="12" t="s">
        <v>113</v>
      </c>
      <c r="W33" s="12" t="s">
        <v>113</v>
      </c>
      <c r="X33" s="12" t="b">
        <v>1</v>
      </c>
      <c r="Y33" s="12" t="b">
        <v>1</v>
      </c>
      <c r="Z33" s="12">
        <v>1</v>
      </c>
      <c r="AA33" s="12">
        <v>0.8589</v>
      </c>
      <c r="AB33" s="12" t="s">
        <v>1299</v>
      </c>
      <c r="AC33" s="12" t="s">
        <v>1540</v>
      </c>
      <c r="AD33" s="13" t="b">
        <v>1</v>
      </c>
    </row>
    <row r="34" spans="1:30">
      <c r="A34" t="s">
        <v>115</v>
      </c>
      <c r="B34" t="s">
        <v>116</v>
      </c>
      <c r="C34" t="s">
        <v>117</v>
      </c>
      <c r="D34" t="s">
        <v>19</v>
      </c>
      <c r="E34" t="s">
        <v>20</v>
      </c>
      <c r="F34" t="s">
        <v>118</v>
      </c>
      <c r="G34" t="s">
        <v>119</v>
      </c>
      <c r="H34" t="s">
        <v>22</v>
      </c>
      <c r="I34" t="s">
        <v>120</v>
      </c>
      <c r="L34" t="s">
        <v>23</v>
      </c>
      <c r="M34" t="s">
        <v>24</v>
      </c>
      <c r="N34" t="s">
        <v>25</v>
      </c>
      <c r="P34" s="11" t="s">
        <v>118</v>
      </c>
      <c r="Q34" s="12" t="s">
        <v>116</v>
      </c>
      <c r="R34" s="12" t="s">
        <v>116</v>
      </c>
      <c r="S34" s="12" t="b">
        <v>1</v>
      </c>
      <c r="T34" s="12" t="b">
        <v>1</v>
      </c>
      <c r="U34" s="12">
        <v>1</v>
      </c>
      <c r="V34" s="12" t="s">
        <v>117</v>
      </c>
      <c r="W34" s="12" t="s">
        <v>117</v>
      </c>
      <c r="X34" s="12" t="b">
        <v>1</v>
      </c>
      <c r="Y34" s="12" t="b">
        <v>1</v>
      </c>
      <c r="Z34" s="12">
        <v>1</v>
      </c>
      <c r="AA34" s="12">
        <v>1.0248999999999999</v>
      </c>
      <c r="AB34" s="12" t="s">
        <v>116</v>
      </c>
      <c r="AC34" s="12" t="s">
        <v>1541</v>
      </c>
      <c r="AD34" s="13" t="b">
        <v>1</v>
      </c>
    </row>
    <row r="35" spans="1:30">
      <c r="A35" t="s">
        <v>115</v>
      </c>
      <c r="B35" t="s">
        <v>116</v>
      </c>
      <c r="C35" t="s">
        <v>117</v>
      </c>
      <c r="D35" t="s">
        <v>19</v>
      </c>
      <c r="E35" t="s">
        <v>20</v>
      </c>
      <c r="F35" t="s">
        <v>121</v>
      </c>
      <c r="G35" t="s">
        <v>122</v>
      </c>
      <c r="H35" t="s">
        <v>22</v>
      </c>
      <c r="I35" t="s">
        <v>123</v>
      </c>
      <c r="L35" t="s">
        <v>23</v>
      </c>
      <c r="M35" t="s">
        <v>24</v>
      </c>
      <c r="N35" t="s">
        <v>31</v>
      </c>
      <c r="P35" s="11" t="s">
        <v>121</v>
      </c>
      <c r="Q35" s="12" t="s">
        <v>116</v>
      </c>
      <c r="R35" s="12" t="s">
        <v>116</v>
      </c>
      <c r="S35" s="12" t="b">
        <v>1</v>
      </c>
      <c r="T35" s="12" t="b">
        <v>1</v>
      </c>
      <c r="U35" s="12">
        <v>1</v>
      </c>
      <c r="V35" s="12" t="s">
        <v>117</v>
      </c>
      <c r="W35" s="12" t="s">
        <v>117</v>
      </c>
      <c r="X35" s="12" t="b">
        <v>1</v>
      </c>
      <c r="Y35" s="12" t="b">
        <v>1</v>
      </c>
      <c r="Z35" s="12">
        <v>1</v>
      </c>
      <c r="AA35" s="12">
        <v>0.89749999999999996</v>
      </c>
      <c r="AB35" s="12" t="s">
        <v>116</v>
      </c>
      <c r="AC35" s="12" t="s">
        <v>1542</v>
      </c>
      <c r="AD35" s="13" t="b">
        <v>1</v>
      </c>
    </row>
    <row r="36" spans="1:30">
      <c r="A36" t="s">
        <v>124</v>
      </c>
      <c r="B36" t="s">
        <v>125</v>
      </c>
      <c r="C36" t="s">
        <v>126</v>
      </c>
      <c r="D36" t="s">
        <v>127</v>
      </c>
      <c r="E36" t="s">
        <v>127</v>
      </c>
      <c r="F36" t="s">
        <v>128</v>
      </c>
      <c r="G36" t="s">
        <v>128</v>
      </c>
      <c r="L36" t="s">
        <v>23</v>
      </c>
      <c r="M36" t="s">
        <v>24</v>
      </c>
      <c r="N36" t="s">
        <v>31</v>
      </c>
      <c r="P36" s="11" t="s">
        <v>128</v>
      </c>
      <c r="Q36" s="12" t="s">
        <v>125</v>
      </c>
      <c r="R36" s="12" t="s">
        <v>125</v>
      </c>
      <c r="S36" s="12" t="b">
        <v>1</v>
      </c>
      <c r="T36" s="12" t="b">
        <v>1</v>
      </c>
      <c r="U36" s="12">
        <v>1</v>
      </c>
      <c r="V36" s="12" t="s">
        <v>126</v>
      </c>
      <c r="W36" s="12" t="s">
        <v>126</v>
      </c>
      <c r="X36" s="12" t="b">
        <v>1</v>
      </c>
      <c r="Y36" s="12" t="b">
        <v>1</v>
      </c>
      <c r="Z36" s="12">
        <v>1</v>
      </c>
      <c r="AA36" s="12">
        <v>0.77990000000000004</v>
      </c>
      <c r="AB36" s="12" t="s">
        <v>1300</v>
      </c>
      <c r="AC36" s="12" t="s">
        <v>1543</v>
      </c>
      <c r="AD36" s="13" t="b">
        <v>1</v>
      </c>
    </row>
    <row r="37" spans="1:30">
      <c r="A37" t="s">
        <v>129</v>
      </c>
      <c r="B37" t="s">
        <v>130</v>
      </c>
      <c r="C37" t="s">
        <v>131</v>
      </c>
      <c r="D37" t="s">
        <v>127</v>
      </c>
      <c r="E37" t="s">
        <v>127</v>
      </c>
      <c r="F37" t="s">
        <v>132</v>
      </c>
      <c r="G37" t="s">
        <v>133</v>
      </c>
      <c r="L37" t="s">
        <v>23</v>
      </c>
      <c r="M37" t="s">
        <v>24</v>
      </c>
      <c r="N37" t="s">
        <v>31</v>
      </c>
      <c r="P37" s="11" t="s">
        <v>132</v>
      </c>
      <c r="Q37" s="12" t="s">
        <v>130</v>
      </c>
      <c r="R37" s="12" t="s">
        <v>130</v>
      </c>
      <c r="S37" s="12" t="b">
        <v>1</v>
      </c>
      <c r="T37" s="12" t="b">
        <v>1</v>
      </c>
      <c r="U37" s="12">
        <v>1</v>
      </c>
      <c r="V37" s="12" t="s">
        <v>131</v>
      </c>
      <c r="W37" s="12" t="s">
        <v>470</v>
      </c>
      <c r="X37" s="12" t="b">
        <v>0</v>
      </c>
      <c r="Y37" s="12" t="b">
        <v>1</v>
      </c>
      <c r="Z37" s="12">
        <v>4</v>
      </c>
      <c r="AA37" s="12">
        <v>1</v>
      </c>
      <c r="AB37" s="12" t="s">
        <v>130</v>
      </c>
      <c r="AC37" s="12" t="s">
        <v>1544</v>
      </c>
      <c r="AD37" s="13" t="b">
        <v>1</v>
      </c>
    </row>
    <row r="38" spans="1:30">
      <c r="A38" t="s">
        <v>134</v>
      </c>
      <c r="B38" t="s">
        <v>135</v>
      </c>
      <c r="C38" t="s">
        <v>136</v>
      </c>
      <c r="D38" t="s">
        <v>19</v>
      </c>
      <c r="E38" t="s">
        <v>20</v>
      </c>
      <c r="F38" t="s">
        <v>134</v>
      </c>
      <c r="G38" t="s">
        <v>137</v>
      </c>
      <c r="H38" t="s">
        <v>22</v>
      </c>
      <c r="L38" t="s">
        <v>23</v>
      </c>
      <c r="M38" t="s">
        <v>24</v>
      </c>
      <c r="N38" t="s">
        <v>25</v>
      </c>
      <c r="P38" s="11" t="s">
        <v>134</v>
      </c>
      <c r="Q38" s="12" t="s">
        <v>135</v>
      </c>
      <c r="R38" s="12" t="s">
        <v>135</v>
      </c>
      <c r="S38" s="12" t="b">
        <v>1</v>
      </c>
      <c r="T38" s="12" t="b">
        <v>1</v>
      </c>
      <c r="U38" s="12">
        <v>1</v>
      </c>
      <c r="V38" s="12" t="s">
        <v>136</v>
      </c>
      <c r="W38" s="12" t="s">
        <v>136</v>
      </c>
      <c r="X38" s="12" t="b">
        <v>1</v>
      </c>
      <c r="Y38" s="12" t="b">
        <v>1</v>
      </c>
      <c r="Z38" s="12">
        <v>1</v>
      </c>
      <c r="AA38" s="12">
        <v>1.1819999999999999</v>
      </c>
      <c r="AB38" s="12" t="s">
        <v>135</v>
      </c>
      <c r="AC38" s="12" t="s">
        <v>631</v>
      </c>
      <c r="AD38" s="13" t="b">
        <v>1</v>
      </c>
    </row>
    <row r="39" spans="1:30">
      <c r="A39" t="s">
        <v>138</v>
      </c>
      <c r="B39" t="s">
        <v>84</v>
      </c>
      <c r="C39" t="s">
        <v>139</v>
      </c>
      <c r="D39" t="s">
        <v>19</v>
      </c>
      <c r="E39" t="s">
        <v>20</v>
      </c>
      <c r="F39" t="s">
        <v>86</v>
      </c>
      <c r="G39" t="s">
        <v>140</v>
      </c>
      <c r="H39" t="s">
        <v>22</v>
      </c>
      <c r="I39" t="s">
        <v>141</v>
      </c>
      <c r="L39" t="s">
        <v>23</v>
      </c>
      <c r="M39" t="s">
        <v>24</v>
      </c>
      <c r="N39" t="s">
        <v>25</v>
      </c>
      <c r="P39" s="11" t="s">
        <v>86</v>
      </c>
      <c r="Q39" s="12" t="s">
        <v>84</v>
      </c>
      <c r="R39" s="12" t="s">
        <v>84</v>
      </c>
      <c r="S39" s="12" t="b">
        <v>1</v>
      </c>
      <c r="T39" s="12" t="b">
        <v>1</v>
      </c>
      <c r="U39" s="12">
        <v>1</v>
      </c>
      <c r="V39" s="12" t="s">
        <v>139</v>
      </c>
      <c r="W39" s="12" t="s">
        <v>473</v>
      </c>
      <c r="X39" s="12" t="b">
        <v>0</v>
      </c>
      <c r="Y39" s="12" t="b">
        <v>1</v>
      </c>
      <c r="Z39" s="12">
        <v>2</v>
      </c>
      <c r="AA39" s="12">
        <v>1.0927</v>
      </c>
      <c r="AB39" s="12" t="s">
        <v>1301</v>
      </c>
      <c r="AC39" s="12" t="s">
        <v>1545</v>
      </c>
      <c r="AD39" s="13" t="b">
        <v>1</v>
      </c>
    </row>
    <row r="40" spans="1:30">
      <c r="A40" t="s">
        <v>142</v>
      </c>
      <c r="B40" t="s">
        <v>143</v>
      </c>
      <c r="C40" t="s">
        <v>144</v>
      </c>
      <c r="D40" t="s">
        <v>19</v>
      </c>
      <c r="E40" t="s">
        <v>20</v>
      </c>
      <c r="F40" t="s">
        <v>145</v>
      </c>
      <c r="G40" t="s">
        <v>146</v>
      </c>
      <c r="H40" t="s">
        <v>22</v>
      </c>
      <c r="L40" t="s">
        <v>23</v>
      </c>
      <c r="M40" t="s">
        <v>24</v>
      </c>
      <c r="N40" t="s">
        <v>25</v>
      </c>
      <c r="P40" s="11" t="s">
        <v>145</v>
      </c>
      <c r="Q40" s="12" t="s">
        <v>143</v>
      </c>
      <c r="R40" s="12" t="s">
        <v>143</v>
      </c>
      <c r="S40" s="12" t="b">
        <v>1</v>
      </c>
      <c r="T40" s="12" t="b">
        <v>1</v>
      </c>
      <c r="U40" s="12">
        <v>1</v>
      </c>
      <c r="V40" s="12" t="s">
        <v>144</v>
      </c>
      <c r="W40" s="12" t="s">
        <v>144</v>
      </c>
      <c r="X40" s="12" t="b">
        <v>1</v>
      </c>
      <c r="Y40" s="12" t="b">
        <v>1</v>
      </c>
      <c r="Z40" s="12">
        <v>1</v>
      </c>
      <c r="AA40" s="12">
        <v>0.81789999999999996</v>
      </c>
      <c r="AB40" s="12" t="s">
        <v>143</v>
      </c>
      <c r="AC40" s="12" t="s">
        <v>1466</v>
      </c>
      <c r="AD40" s="13" t="b">
        <v>1</v>
      </c>
    </row>
    <row r="41" spans="1:30">
      <c r="A41" t="s">
        <v>147</v>
      </c>
      <c r="B41" t="s">
        <v>148</v>
      </c>
      <c r="C41" t="s">
        <v>149</v>
      </c>
      <c r="D41" t="s">
        <v>19</v>
      </c>
      <c r="E41" t="s">
        <v>20</v>
      </c>
      <c r="F41" t="s">
        <v>147</v>
      </c>
      <c r="G41" t="s">
        <v>150</v>
      </c>
      <c r="H41" t="s">
        <v>22</v>
      </c>
      <c r="I41" t="s">
        <v>151</v>
      </c>
      <c r="L41" t="s">
        <v>23</v>
      </c>
      <c r="M41" t="s">
        <v>24</v>
      </c>
      <c r="N41" t="s">
        <v>25</v>
      </c>
      <c r="P41" s="11" t="s">
        <v>147</v>
      </c>
      <c r="Q41" s="12" t="s">
        <v>148</v>
      </c>
      <c r="R41" s="12" t="s">
        <v>148</v>
      </c>
      <c r="S41" s="12" t="b">
        <v>1</v>
      </c>
      <c r="T41" s="12" t="b">
        <v>1</v>
      </c>
      <c r="U41" s="12">
        <v>1</v>
      </c>
      <c r="V41" s="12" t="s">
        <v>149</v>
      </c>
      <c r="W41" s="12" t="s">
        <v>149</v>
      </c>
      <c r="X41" s="12" t="b">
        <v>1</v>
      </c>
      <c r="Y41" s="12" t="b">
        <v>1</v>
      </c>
      <c r="Z41" s="12">
        <v>1</v>
      </c>
      <c r="AA41" s="12">
        <v>0.99450000000000005</v>
      </c>
      <c r="AB41" s="12" t="s">
        <v>1302</v>
      </c>
      <c r="AC41" s="12" t="s">
        <v>1546</v>
      </c>
      <c r="AD41" s="13" t="b">
        <v>1</v>
      </c>
    </row>
    <row r="42" spans="1:30">
      <c r="A42" s="2" t="s">
        <v>152</v>
      </c>
      <c r="B42" s="2" t="s">
        <v>152</v>
      </c>
      <c r="C42" s="2" t="s">
        <v>153</v>
      </c>
      <c r="D42" s="2" t="s">
        <v>19</v>
      </c>
      <c r="E42" s="2" t="s">
        <v>20</v>
      </c>
      <c r="F42" s="2" t="s">
        <v>154</v>
      </c>
      <c r="G42" s="2" t="s">
        <v>155</v>
      </c>
      <c r="H42" s="2" t="s">
        <v>22</v>
      </c>
      <c r="I42" s="2" t="s">
        <v>156</v>
      </c>
      <c r="J42" s="2"/>
      <c r="K42" s="2"/>
      <c r="L42" t="s">
        <v>23</v>
      </c>
      <c r="M42" t="s">
        <v>24</v>
      </c>
      <c r="N42" s="2" t="s">
        <v>49</v>
      </c>
      <c r="P42" s="11" t="s">
        <v>154</v>
      </c>
      <c r="Q42" s="12" t="s">
        <v>152</v>
      </c>
      <c r="R42" s="12"/>
      <c r="S42" s="12" t="b">
        <v>0</v>
      </c>
      <c r="T42" s="12" t="b">
        <v>0</v>
      </c>
      <c r="U42" s="12"/>
      <c r="V42" s="12" t="s">
        <v>153</v>
      </c>
      <c r="W42" s="12"/>
      <c r="X42" s="12" t="b">
        <v>0</v>
      </c>
      <c r="Y42" s="12" t="b">
        <v>0</v>
      </c>
      <c r="Z42" s="12"/>
      <c r="AA42" s="12"/>
      <c r="AB42" s="12"/>
      <c r="AC42" s="12"/>
      <c r="AD42" s="13" t="b">
        <v>0</v>
      </c>
    </row>
    <row r="43" spans="1:30">
      <c r="A43" s="2" t="s">
        <v>157</v>
      </c>
      <c r="B43" s="2" t="s">
        <v>158</v>
      </c>
      <c r="C43" s="2" t="s">
        <v>159</v>
      </c>
      <c r="D43" s="2" t="s">
        <v>19</v>
      </c>
      <c r="E43" s="2" t="s">
        <v>20</v>
      </c>
      <c r="F43" s="2" t="s">
        <v>157</v>
      </c>
      <c r="G43" s="2" t="s">
        <v>160</v>
      </c>
      <c r="H43" s="2" t="s">
        <v>22</v>
      </c>
      <c r="I43" s="2" t="s">
        <v>161</v>
      </c>
      <c r="J43" s="2"/>
      <c r="K43" s="2"/>
      <c r="L43" t="s">
        <v>23</v>
      </c>
      <c r="M43" t="s">
        <v>24</v>
      </c>
      <c r="N43" t="s">
        <v>25</v>
      </c>
      <c r="P43" s="11" t="s">
        <v>157</v>
      </c>
      <c r="Q43" s="12" t="s">
        <v>158</v>
      </c>
      <c r="R43" s="12" t="s">
        <v>158</v>
      </c>
      <c r="S43" s="12" t="b">
        <v>1</v>
      </c>
      <c r="T43" s="12" t="b">
        <v>1</v>
      </c>
      <c r="U43" s="12">
        <v>1</v>
      </c>
      <c r="V43" s="12" t="s">
        <v>159</v>
      </c>
      <c r="W43" s="12" t="s">
        <v>159</v>
      </c>
      <c r="X43" s="12" t="b">
        <v>1</v>
      </c>
      <c r="Y43" s="12" t="b">
        <v>1</v>
      </c>
      <c r="Z43" s="12">
        <v>1</v>
      </c>
      <c r="AA43" s="12">
        <v>1.1376999999999999</v>
      </c>
      <c r="AB43" s="12" t="s">
        <v>1303</v>
      </c>
      <c r="AC43" s="12" t="s">
        <v>1547</v>
      </c>
      <c r="AD43" s="13" t="b">
        <v>1</v>
      </c>
    </row>
    <row r="44" spans="1:30">
      <c r="A44" s="2" t="s">
        <v>162</v>
      </c>
      <c r="B44" s="2" t="s">
        <v>163</v>
      </c>
      <c r="C44" s="2" t="s">
        <v>164</v>
      </c>
      <c r="D44" s="2" t="s">
        <v>19</v>
      </c>
      <c r="E44" s="2" t="s">
        <v>20</v>
      </c>
      <c r="F44" s="2" t="s">
        <v>165</v>
      </c>
      <c r="G44" s="2" t="s">
        <v>166</v>
      </c>
      <c r="H44" s="2" t="s">
        <v>22</v>
      </c>
      <c r="I44" s="2" t="s">
        <v>167</v>
      </c>
      <c r="J44" s="2"/>
      <c r="K44" s="2"/>
      <c r="L44" t="s">
        <v>23</v>
      </c>
      <c r="M44" t="s">
        <v>24</v>
      </c>
      <c r="N44" s="2" t="s">
        <v>49</v>
      </c>
      <c r="P44" s="11" t="s">
        <v>165</v>
      </c>
      <c r="Q44" s="12" t="s">
        <v>163</v>
      </c>
      <c r="R44" s="12" t="s">
        <v>168</v>
      </c>
      <c r="S44" s="12" t="b">
        <v>0</v>
      </c>
      <c r="T44" s="12" t="b">
        <v>0</v>
      </c>
      <c r="U44" s="12"/>
      <c r="V44" s="12" t="s">
        <v>164</v>
      </c>
      <c r="W44" s="12" t="s">
        <v>169</v>
      </c>
      <c r="X44" s="12" t="b">
        <v>0</v>
      </c>
      <c r="Y44" s="12" t="b">
        <v>0</v>
      </c>
      <c r="Z44" s="12"/>
      <c r="AA44" s="12">
        <v>1.2</v>
      </c>
      <c r="AB44" s="12" t="s">
        <v>168</v>
      </c>
      <c r="AC44" s="12" t="s">
        <v>169</v>
      </c>
      <c r="AD44" s="13" t="b">
        <v>1</v>
      </c>
    </row>
    <row r="45" spans="1:30">
      <c r="A45" s="2" t="s">
        <v>165</v>
      </c>
      <c r="B45" s="2" t="s">
        <v>168</v>
      </c>
      <c r="C45" s="2" t="s">
        <v>169</v>
      </c>
      <c r="D45" s="2" t="s">
        <v>19</v>
      </c>
      <c r="E45" s="2" t="s">
        <v>20</v>
      </c>
      <c r="F45" s="2" t="s">
        <v>165</v>
      </c>
      <c r="G45" s="2" t="s">
        <v>170</v>
      </c>
      <c r="H45" s="2" t="s">
        <v>22</v>
      </c>
      <c r="I45" s="2" t="s">
        <v>171</v>
      </c>
      <c r="J45" s="2"/>
      <c r="K45" s="2"/>
      <c r="L45" t="s">
        <v>23</v>
      </c>
      <c r="M45" t="s">
        <v>24</v>
      </c>
      <c r="N45" t="s">
        <v>31</v>
      </c>
      <c r="P45" s="11" t="s">
        <v>165</v>
      </c>
      <c r="Q45" s="12" t="s">
        <v>168</v>
      </c>
      <c r="R45" s="12" t="s">
        <v>168</v>
      </c>
      <c r="S45" s="12" t="b">
        <v>1</v>
      </c>
      <c r="T45" s="12" t="b">
        <v>1</v>
      </c>
      <c r="U45" s="12">
        <v>1</v>
      </c>
      <c r="V45" s="12" t="s">
        <v>169</v>
      </c>
      <c r="W45" s="12" t="s">
        <v>169</v>
      </c>
      <c r="X45" s="12" t="b">
        <v>1</v>
      </c>
      <c r="Y45" s="12" t="b">
        <v>1</v>
      </c>
      <c r="Z45" s="12">
        <v>1</v>
      </c>
      <c r="AA45" s="12">
        <v>1.2</v>
      </c>
      <c r="AB45" s="12" t="s">
        <v>168</v>
      </c>
      <c r="AC45" s="12" t="s">
        <v>169</v>
      </c>
      <c r="AD45" s="13" t="b">
        <v>1</v>
      </c>
    </row>
    <row r="46" spans="1:30">
      <c r="A46" s="2" t="s">
        <v>172</v>
      </c>
      <c r="B46" s="2" t="s">
        <v>173</v>
      </c>
      <c r="C46" s="2" t="s">
        <v>174</v>
      </c>
      <c r="D46" s="2" t="s">
        <v>19</v>
      </c>
      <c r="E46" s="2" t="s">
        <v>20</v>
      </c>
      <c r="F46" s="2" t="s">
        <v>175</v>
      </c>
      <c r="G46" s="2" t="s">
        <v>176</v>
      </c>
      <c r="H46" s="2"/>
      <c r="I46" s="2"/>
      <c r="J46" s="2"/>
      <c r="K46" s="2"/>
      <c r="L46" t="s">
        <v>23</v>
      </c>
      <c r="M46" t="s">
        <v>24</v>
      </c>
      <c r="N46" s="2" t="s">
        <v>49</v>
      </c>
      <c r="P46" s="11" t="s">
        <v>175</v>
      </c>
      <c r="Q46" s="12" t="s">
        <v>173</v>
      </c>
      <c r="R46" s="12" t="s">
        <v>1189</v>
      </c>
      <c r="S46" s="12" t="b">
        <v>0</v>
      </c>
      <c r="T46" s="12" t="b">
        <v>0</v>
      </c>
      <c r="U46" s="12"/>
      <c r="V46" s="12" t="s">
        <v>174</v>
      </c>
      <c r="W46" s="12" t="s">
        <v>1190</v>
      </c>
      <c r="X46" s="12" t="b">
        <v>0</v>
      </c>
      <c r="Y46" s="12" t="b">
        <v>0</v>
      </c>
      <c r="Z46" s="12"/>
      <c r="AA46" s="12">
        <v>0.61980000000000002</v>
      </c>
      <c r="AB46" s="12" t="s">
        <v>1002</v>
      </c>
      <c r="AC46" s="12" t="s">
        <v>1548</v>
      </c>
      <c r="AD46" s="13" t="b">
        <v>1</v>
      </c>
    </row>
    <row r="47" spans="1:30">
      <c r="A47" t="s">
        <v>16</v>
      </c>
      <c r="B47" t="s">
        <v>17</v>
      </c>
      <c r="C47" t="s">
        <v>177</v>
      </c>
      <c r="D47" t="s">
        <v>44</v>
      </c>
      <c r="E47" t="s">
        <v>20</v>
      </c>
      <c r="F47" t="s">
        <v>178</v>
      </c>
      <c r="H47" t="s">
        <v>179</v>
      </c>
      <c r="J47">
        <v>15670</v>
      </c>
      <c r="L47" t="s">
        <v>180</v>
      </c>
      <c r="M47" t="s">
        <v>24</v>
      </c>
      <c r="N47" s="2" t="s">
        <v>49</v>
      </c>
      <c r="P47" s="11" t="s">
        <v>178</v>
      </c>
      <c r="Q47" s="12" t="s">
        <v>17</v>
      </c>
      <c r="R47" s="12" t="s">
        <v>1192</v>
      </c>
      <c r="S47" s="12" t="b">
        <v>0</v>
      </c>
      <c r="T47" s="12" t="b">
        <v>0</v>
      </c>
      <c r="U47" s="12"/>
      <c r="V47" s="12" t="s">
        <v>177</v>
      </c>
      <c r="W47" s="12" t="s">
        <v>43</v>
      </c>
      <c r="X47" s="12" t="b">
        <v>0</v>
      </c>
      <c r="Y47" s="12" t="b">
        <v>0</v>
      </c>
      <c r="Z47" s="12"/>
      <c r="AA47" s="12">
        <v>0.6986</v>
      </c>
      <c r="AB47" s="12" t="s">
        <v>1304</v>
      </c>
      <c r="AC47" s="12" t="s">
        <v>1549</v>
      </c>
      <c r="AD47" s="13" t="b">
        <v>1</v>
      </c>
    </row>
    <row r="48" spans="1:30">
      <c r="A48" t="s">
        <v>26</v>
      </c>
      <c r="B48" t="s">
        <v>27</v>
      </c>
      <c r="C48" t="s">
        <v>181</v>
      </c>
      <c r="D48" t="s">
        <v>127</v>
      </c>
      <c r="E48" t="s">
        <v>127</v>
      </c>
      <c r="F48" t="s">
        <v>182</v>
      </c>
      <c r="H48" t="s">
        <v>183</v>
      </c>
      <c r="J48">
        <v>12867</v>
      </c>
      <c r="L48" t="s">
        <v>180</v>
      </c>
      <c r="M48" t="s">
        <v>24</v>
      </c>
      <c r="N48" t="s">
        <v>31</v>
      </c>
      <c r="P48" s="11" t="s">
        <v>182</v>
      </c>
      <c r="Q48" s="12" t="s">
        <v>27</v>
      </c>
      <c r="R48" s="12" t="s">
        <v>27</v>
      </c>
      <c r="S48" s="12" t="b">
        <v>1</v>
      </c>
      <c r="T48" s="12" t="b">
        <v>1</v>
      </c>
      <c r="U48" s="12">
        <v>1</v>
      </c>
      <c r="V48" s="12" t="s">
        <v>181</v>
      </c>
      <c r="W48" s="12" t="s">
        <v>181</v>
      </c>
      <c r="X48" s="12" t="b">
        <v>1</v>
      </c>
      <c r="Y48" s="12" t="b">
        <v>1</v>
      </c>
      <c r="Z48" s="12">
        <v>1</v>
      </c>
      <c r="AA48" s="12">
        <v>1.1752</v>
      </c>
      <c r="AB48" s="12" t="s">
        <v>1289</v>
      </c>
      <c r="AC48" s="12" t="s">
        <v>1550</v>
      </c>
      <c r="AD48" s="13" t="b">
        <v>1</v>
      </c>
    </row>
    <row r="49" spans="1:30">
      <c r="A49" t="s">
        <v>184</v>
      </c>
      <c r="B49" t="s">
        <v>185</v>
      </c>
      <c r="C49" t="s">
        <v>186</v>
      </c>
      <c r="D49" t="s">
        <v>19</v>
      </c>
      <c r="E49" t="s">
        <v>20</v>
      </c>
      <c r="F49" t="s">
        <v>187</v>
      </c>
      <c r="H49" t="s">
        <v>188</v>
      </c>
      <c r="J49">
        <v>15010</v>
      </c>
      <c r="L49" t="s">
        <v>180</v>
      </c>
      <c r="M49" t="s">
        <v>24</v>
      </c>
      <c r="N49" t="s">
        <v>25</v>
      </c>
      <c r="P49" s="11" t="s">
        <v>187</v>
      </c>
      <c r="Q49" s="12" t="s">
        <v>185</v>
      </c>
      <c r="R49" s="12" t="s">
        <v>185</v>
      </c>
      <c r="S49" s="12" t="b">
        <v>1</v>
      </c>
      <c r="T49" s="12" t="b">
        <v>1</v>
      </c>
      <c r="U49" s="12">
        <v>1</v>
      </c>
      <c r="V49" s="12" t="s">
        <v>186</v>
      </c>
      <c r="W49" s="12" t="s">
        <v>486</v>
      </c>
      <c r="X49" s="12" t="b">
        <v>0</v>
      </c>
      <c r="Y49" s="12" t="b">
        <v>1</v>
      </c>
      <c r="Z49" s="12">
        <v>2</v>
      </c>
      <c r="AA49" s="12">
        <v>1.1178999999999999</v>
      </c>
      <c r="AB49" s="12" t="s">
        <v>185</v>
      </c>
      <c r="AC49" s="12" t="s">
        <v>1551</v>
      </c>
      <c r="AD49" s="13" t="b">
        <v>1</v>
      </c>
    </row>
    <row r="50" spans="1:30">
      <c r="A50" t="s">
        <v>53</v>
      </c>
      <c r="B50" t="s">
        <v>54</v>
      </c>
      <c r="C50" t="s">
        <v>55</v>
      </c>
      <c r="D50" t="s">
        <v>19</v>
      </c>
      <c r="E50" t="s">
        <v>20</v>
      </c>
      <c r="F50" t="s">
        <v>53</v>
      </c>
      <c r="H50" t="s">
        <v>189</v>
      </c>
      <c r="J50">
        <v>5628</v>
      </c>
      <c r="L50" t="s">
        <v>180</v>
      </c>
      <c r="M50" t="s">
        <v>24</v>
      </c>
      <c r="N50" t="s">
        <v>25</v>
      </c>
      <c r="P50" s="11" t="s">
        <v>53</v>
      </c>
      <c r="Q50" s="12" t="s">
        <v>54</v>
      </c>
      <c r="R50" s="12" t="s">
        <v>54</v>
      </c>
      <c r="S50" s="12" t="b">
        <v>1</v>
      </c>
      <c r="T50" s="12" t="b">
        <v>1</v>
      </c>
      <c r="U50" s="12">
        <v>1</v>
      </c>
      <c r="V50" s="12" t="s">
        <v>55</v>
      </c>
      <c r="W50" s="12" t="s">
        <v>55</v>
      </c>
      <c r="X50" s="12" t="b">
        <v>1</v>
      </c>
      <c r="Y50" s="12" t="b">
        <v>1</v>
      </c>
      <c r="Z50" s="12">
        <v>1</v>
      </c>
      <c r="AA50" s="12">
        <v>1.1528</v>
      </c>
      <c r="AB50" s="12" t="s">
        <v>1292</v>
      </c>
      <c r="AC50" s="12" t="s">
        <v>1530</v>
      </c>
      <c r="AD50" s="13" t="b">
        <v>1</v>
      </c>
    </row>
    <row r="51" spans="1:30">
      <c r="A51" t="s">
        <v>190</v>
      </c>
      <c r="B51" t="s">
        <v>191</v>
      </c>
      <c r="C51" t="s">
        <v>192</v>
      </c>
      <c r="D51" t="s">
        <v>19</v>
      </c>
      <c r="E51" t="s">
        <v>20</v>
      </c>
      <c r="F51" t="s">
        <v>193</v>
      </c>
      <c r="H51" t="s">
        <v>22</v>
      </c>
      <c r="J51">
        <v>3130</v>
      </c>
      <c r="L51" t="s">
        <v>180</v>
      </c>
      <c r="M51" t="s">
        <v>24</v>
      </c>
      <c r="N51" t="s">
        <v>25</v>
      </c>
      <c r="P51" s="11" t="s">
        <v>193</v>
      </c>
      <c r="Q51" s="12" t="s">
        <v>191</v>
      </c>
      <c r="R51" s="12" t="s">
        <v>191</v>
      </c>
      <c r="S51" s="12" t="b">
        <v>1</v>
      </c>
      <c r="T51" s="12" t="b">
        <v>1</v>
      </c>
      <c r="U51" s="12">
        <v>1</v>
      </c>
      <c r="V51" s="12" t="s">
        <v>192</v>
      </c>
      <c r="W51" s="12" t="s">
        <v>192</v>
      </c>
      <c r="X51" s="12" t="b">
        <v>1</v>
      </c>
      <c r="Y51" s="12" t="b">
        <v>1</v>
      </c>
      <c r="Z51" s="12">
        <v>1</v>
      </c>
      <c r="AA51" s="12">
        <v>0.9</v>
      </c>
      <c r="AB51" s="12" t="s">
        <v>1004</v>
      </c>
      <c r="AC51" s="12" t="s">
        <v>1552</v>
      </c>
      <c r="AD51" s="13" t="b">
        <v>1</v>
      </c>
    </row>
    <row r="52" spans="1:30">
      <c r="A52" t="s">
        <v>68</v>
      </c>
      <c r="B52" t="s">
        <v>69</v>
      </c>
      <c r="C52" t="s">
        <v>70</v>
      </c>
      <c r="D52" t="s">
        <v>19</v>
      </c>
      <c r="E52" t="s">
        <v>20</v>
      </c>
      <c r="F52" t="s">
        <v>194</v>
      </c>
      <c r="H52" t="s">
        <v>189</v>
      </c>
      <c r="J52">
        <v>3155</v>
      </c>
      <c r="L52" t="s">
        <v>180</v>
      </c>
      <c r="M52" t="s">
        <v>24</v>
      </c>
      <c r="N52" t="s">
        <v>31</v>
      </c>
      <c r="P52" s="11" t="s">
        <v>194</v>
      </c>
      <c r="Q52" s="12" t="s">
        <v>69</v>
      </c>
      <c r="R52" s="12" t="s">
        <v>69</v>
      </c>
      <c r="S52" s="12" t="b">
        <v>1</v>
      </c>
      <c r="T52" s="12" t="b">
        <v>1</v>
      </c>
      <c r="U52" s="12">
        <v>1</v>
      </c>
      <c r="V52" s="12" t="s">
        <v>70</v>
      </c>
      <c r="W52" s="12" t="s">
        <v>1553</v>
      </c>
      <c r="X52" s="12" t="b">
        <v>0</v>
      </c>
      <c r="Y52" s="12" t="b">
        <v>1</v>
      </c>
      <c r="Z52" s="12">
        <v>2</v>
      </c>
      <c r="AA52" s="12">
        <v>1.0499000000000001</v>
      </c>
      <c r="AB52" s="12" t="s">
        <v>1295</v>
      </c>
      <c r="AC52" s="12" t="s">
        <v>1554</v>
      </c>
      <c r="AD52" s="13" t="b">
        <v>1</v>
      </c>
    </row>
    <row r="53" spans="1:30">
      <c r="A53" t="s">
        <v>195</v>
      </c>
      <c r="B53" t="s">
        <v>196</v>
      </c>
      <c r="C53" t="s">
        <v>197</v>
      </c>
      <c r="D53" t="s">
        <v>19</v>
      </c>
      <c r="E53" t="s">
        <v>20</v>
      </c>
      <c r="F53" t="s">
        <v>198</v>
      </c>
      <c r="H53" t="s">
        <v>189</v>
      </c>
      <c r="J53">
        <v>3098</v>
      </c>
      <c r="L53" t="s">
        <v>180</v>
      </c>
      <c r="M53" t="s">
        <v>24</v>
      </c>
      <c r="N53" t="s">
        <v>25</v>
      </c>
      <c r="P53" s="11" t="s">
        <v>198</v>
      </c>
      <c r="Q53" s="12" t="s">
        <v>196</v>
      </c>
      <c r="R53" s="12" t="s">
        <v>335</v>
      </c>
      <c r="S53" s="12" t="b">
        <v>0</v>
      </c>
      <c r="T53" s="12" t="b">
        <v>1</v>
      </c>
      <c r="U53" s="12">
        <v>2</v>
      </c>
      <c r="V53" s="12" t="s">
        <v>197</v>
      </c>
      <c r="W53" s="12" t="s">
        <v>197</v>
      </c>
      <c r="X53" s="12" t="b">
        <v>1</v>
      </c>
      <c r="Y53" s="12" t="b">
        <v>1</v>
      </c>
      <c r="Z53" s="12">
        <v>1</v>
      </c>
      <c r="AA53" s="12">
        <v>0.89019999999999999</v>
      </c>
      <c r="AB53" s="12" t="s">
        <v>1306</v>
      </c>
      <c r="AC53" s="12" t="s">
        <v>1555</v>
      </c>
      <c r="AD53" s="13" t="b">
        <v>1</v>
      </c>
    </row>
    <row r="54" spans="1:30">
      <c r="A54" t="s">
        <v>199</v>
      </c>
      <c r="B54" t="s">
        <v>200</v>
      </c>
      <c r="C54" t="s">
        <v>201</v>
      </c>
      <c r="D54" t="s">
        <v>19</v>
      </c>
      <c r="E54" t="s">
        <v>20</v>
      </c>
      <c r="F54" t="s">
        <v>202</v>
      </c>
      <c r="H54" t="s">
        <v>203</v>
      </c>
      <c r="J54">
        <v>3240</v>
      </c>
      <c r="L54" t="s">
        <v>180</v>
      </c>
      <c r="M54" t="s">
        <v>24</v>
      </c>
      <c r="N54" t="s">
        <v>25</v>
      </c>
      <c r="P54" s="11" t="s">
        <v>202</v>
      </c>
      <c r="Q54" s="12" t="s">
        <v>200</v>
      </c>
      <c r="R54" s="12" t="s">
        <v>200</v>
      </c>
      <c r="S54" s="12" t="b">
        <v>1</v>
      </c>
      <c r="T54" s="12" t="b">
        <v>1</v>
      </c>
      <c r="U54" s="12">
        <v>1</v>
      </c>
      <c r="V54" s="12" t="s">
        <v>201</v>
      </c>
      <c r="W54" s="12" t="s">
        <v>201</v>
      </c>
      <c r="X54" s="12" t="b">
        <v>1</v>
      </c>
      <c r="Y54" s="12" t="b">
        <v>1</v>
      </c>
      <c r="Z54" s="12">
        <v>1</v>
      </c>
      <c r="AA54" s="12">
        <v>1.1129</v>
      </c>
      <c r="AB54" s="12" t="s">
        <v>1308</v>
      </c>
      <c r="AC54" s="12" t="s">
        <v>1556</v>
      </c>
      <c r="AD54" s="13" t="b">
        <v>1</v>
      </c>
    </row>
    <row r="55" spans="1:30">
      <c r="A55" t="s">
        <v>204</v>
      </c>
      <c r="B55" t="s">
        <v>205</v>
      </c>
      <c r="C55" t="s">
        <v>206</v>
      </c>
      <c r="D55" t="s">
        <v>19</v>
      </c>
      <c r="E55" t="s">
        <v>20</v>
      </c>
      <c r="F55" t="s">
        <v>207</v>
      </c>
      <c r="H55" t="s">
        <v>208</v>
      </c>
      <c r="J55">
        <v>10566</v>
      </c>
      <c r="L55" t="s">
        <v>180</v>
      </c>
      <c r="M55" t="s">
        <v>24</v>
      </c>
      <c r="N55" t="s">
        <v>31</v>
      </c>
      <c r="P55" s="11" t="s">
        <v>207</v>
      </c>
      <c r="Q55" s="12" t="s">
        <v>205</v>
      </c>
      <c r="R55" s="12" t="s">
        <v>205</v>
      </c>
      <c r="S55" s="12" t="b">
        <v>1</v>
      </c>
      <c r="T55" s="12" t="b">
        <v>1</v>
      </c>
      <c r="U55" s="12">
        <v>1</v>
      </c>
      <c r="V55" s="12" t="s">
        <v>206</v>
      </c>
      <c r="W55" s="12" t="s">
        <v>206</v>
      </c>
      <c r="X55" s="12" t="b">
        <v>1</v>
      </c>
      <c r="Y55" s="12" t="b">
        <v>1</v>
      </c>
      <c r="Z55" s="12">
        <v>1</v>
      </c>
      <c r="AA55" s="12">
        <v>1.2</v>
      </c>
      <c r="AB55" s="12" t="s">
        <v>1309</v>
      </c>
      <c r="AC55" s="12" t="s">
        <v>1557</v>
      </c>
      <c r="AD55" s="13" t="b">
        <v>1</v>
      </c>
    </row>
    <row r="56" spans="1:30">
      <c r="A56" t="s">
        <v>209</v>
      </c>
      <c r="B56" t="s">
        <v>210</v>
      </c>
      <c r="C56" t="s">
        <v>211</v>
      </c>
      <c r="D56" t="s">
        <v>19</v>
      </c>
      <c r="E56" t="s">
        <v>20</v>
      </c>
      <c r="F56" t="s">
        <v>212</v>
      </c>
      <c r="H56" t="s">
        <v>189</v>
      </c>
      <c r="J56">
        <v>9059</v>
      </c>
      <c r="L56" t="s">
        <v>180</v>
      </c>
      <c r="M56" t="s">
        <v>24</v>
      </c>
      <c r="N56" t="s">
        <v>25</v>
      </c>
      <c r="P56" s="11" t="s">
        <v>212</v>
      </c>
      <c r="Q56" s="12" t="s">
        <v>210</v>
      </c>
      <c r="R56" s="12" t="s">
        <v>210</v>
      </c>
      <c r="S56" s="12" t="b">
        <v>1</v>
      </c>
      <c r="T56" s="12" t="b">
        <v>1</v>
      </c>
      <c r="U56" s="12">
        <v>1</v>
      </c>
      <c r="V56" s="12" t="s">
        <v>211</v>
      </c>
      <c r="W56" s="12" t="s">
        <v>211</v>
      </c>
      <c r="X56" s="12" t="b">
        <v>1</v>
      </c>
      <c r="Y56" s="12" t="b">
        <v>1</v>
      </c>
      <c r="Z56" s="12">
        <v>1</v>
      </c>
      <c r="AA56" s="12">
        <v>1.1357999999999999</v>
      </c>
      <c r="AB56" s="12" t="s">
        <v>210</v>
      </c>
      <c r="AC56" s="12" t="s">
        <v>1477</v>
      </c>
      <c r="AD56" s="13" t="b">
        <v>1</v>
      </c>
    </row>
    <row r="57" spans="1:30">
      <c r="A57" t="s">
        <v>213</v>
      </c>
      <c r="B57" t="s">
        <v>214</v>
      </c>
      <c r="C57" t="s">
        <v>215</v>
      </c>
      <c r="D57" t="s">
        <v>44</v>
      </c>
      <c r="E57" t="s">
        <v>20</v>
      </c>
      <c r="F57" t="s">
        <v>216</v>
      </c>
      <c r="H57" t="s">
        <v>217</v>
      </c>
      <c r="J57">
        <v>10523</v>
      </c>
      <c r="L57" t="s">
        <v>180</v>
      </c>
      <c r="M57" t="s">
        <v>24</v>
      </c>
      <c r="N57" s="2" t="s">
        <v>49</v>
      </c>
      <c r="P57" s="11" t="s">
        <v>216</v>
      </c>
      <c r="Q57" s="12" t="s">
        <v>214</v>
      </c>
      <c r="R57" s="12" t="s">
        <v>1310</v>
      </c>
      <c r="S57" s="12" t="b">
        <v>0</v>
      </c>
      <c r="T57" s="12" t="b">
        <v>0</v>
      </c>
      <c r="U57" s="12"/>
      <c r="V57" s="12" t="s">
        <v>215</v>
      </c>
      <c r="W57" s="12" t="s">
        <v>505</v>
      </c>
      <c r="X57" s="12" t="b">
        <v>0</v>
      </c>
      <c r="Y57" s="12" t="b">
        <v>0</v>
      </c>
      <c r="Z57" s="12"/>
      <c r="AA57" s="12">
        <v>0.9093</v>
      </c>
      <c r="AB57" s="12" t="s">
        <v>1311</v>
      </c>
      <c r="AC57" s="12" t="s">
        <v>1478</v>
      </c>
      <c r="AD57" s="13" t="b">
        <v>1</v>
      </c>
    </row>
    <row r="58" spans="1:30">
      <c r="A58" t="s">
        <v>213</v>
      </c>
      <c r="B58" t="s">
        <v>214</v>
      </c>
      <c r="C58" t="s">
        <v>218</v>
      </c>
      <c r="D58" t="s">
        <v>19</v>
      </c>
      <c r="E58" t="s">
        <v>20</v>
      </c>
      <c r="F58" t="s">
        <v>216</v>
      </c>
      <c r="H58" t="s">
        <v>219</v>
      </c>
      <c r="J58">
        <v>10521</v>
      </c>
      <c r="L58" t="s">
        <v>180</v>
      </c>
      <c r="M58" t="s">
        <v>24</v>
      </c>
      <c r="N58" s="2" t="s">
        <v>49</v>
      </c>
      <c r="P58" s="11" t="s">
        <v>216</v>
      </c>
      <c r="Q58" s="12" t="s">
        <v>214</v>
      </c>
      <c r="R58" s="12" t="s">
        <v>925</v>
      </c>
      <c r="S58" s="12" t="b">
        <v>0</v>
      </c>
      <c r="T58" s="12" t="b">
        <v>0</v>
      </c>
      <c r="U58" s="12"/>
      <c r="V58" s="12" t="s">
        <v>218</v>
      </c>
      <c r="W58" s="12" t="s">
        <v>505</v>
      </c>
      <c r="X58" s="12" t="b">
        <v>0</v>
      </c>
      <c r="Y58" s="12" t="b">
        <v>0</v>
      </c>
      <c r="Z58" s="12"/>
      <c r="AA58" s="12">
        <v>0.82720000000000005</v>
      </c>
      <c r="AB58" s="12" t="s">
        <v>1008</v>
      </c>
      <c r="AC58" s="12" t="s">
        <v>1558</v>
      </c>
      <c r="AD58" s="13" t="b">
        <v>1</v>
      </c>
    </row>
    <row r="59" spans="1:30">
      <c r="A59" t="s">
        <v>220</v>
      </c>
      <c r="B59" t="s">
        <v>221</v>
      </c>
      <c r="C59" t="s">
        <v>222</v>
      </c>
      <c r="D59" t="s">
        <v>19</v>
      </c>
      <c r="E59" t="s">
        <v>20</v>
      </c>
      <c r="F59" t="s">
        <v>223</v>
      </c>
      <c r="H59" t="s">
        <v>22</v>
      </c>
      <c r="J59">
        <v>9770</v>
      </c>
      <c r="L59" t="s">
        <v>180</v>
      </c>
      <c r="M59" t="s">
        <v>24</v>
      </c>
      <c r="N59" s="2" t="s">
        <v>49</v>
      </c>
      <c r="P59" s="11" t="s">
        <v>223</v>
      </c>
      <c r="Q59" s="12" t="s">
        <v>221</v>
      </c>
      <c r="R59" s="12" t="s">
        <v>221</v>
      </c>
      <c r="S59" s="12" t="b">
        <v>1</v>
      </c>
      <c r="T59" s="12" t="b">
        <v>1</v>
      </c>
      <c r="U59" s="12">
        <v>1</v>
      </c>
      <c r="V59" s="12" t="s">
        <v>222</v>
      </c>
      <c r="W59" s="12" t="s">
        <v>508</v>
      </c>
      <c r="X59" s="12" t="b">
        <v>0</v>
      </c>
      <c r="Y59" s="12" t="b">
        <v>1</v>
      </c>
      <c r="Z59" s="12">
        <v>3</v>
      </c>
      <c r="AA59" s="12">
        <v>1.1335</v>
      </c>
      <c r="AB59" s="12" t="s">
        <v>221</v>
      </c>
      <c r="AC59" s="12" t="s">
        <v>1559</v>
      </c>
      <c r="AD59" s="13" t="b">
        <v>1</v>
      </c>
    </row>
    <row r="60" spans="1:30">
      <c r="A60" t="s">
        <v>224</v>
      </c>
      <c r="B60" t="s">
        <v>148</v>
      </c>
      <c r="C60" t="s">
        <v>149</v>
      </c>
      <c r="D60" t="s">
        <v>19</v>
      </c>
      <c r="E60" t="s">
        <v>20</v>
      </c>
      <c r="F60" t="s">
        <v>225</v>
      </c>
      <c r="H60" t="s">
        <v>226</v>
      </c>
      <c r="J60">
        <v>15418</v>
      </c>
      <c r="L60" t="s">
        <v>180</v>
      </c>
      <c r="M60" t="s">
        <v>24</v>
      </c>
      <c r="N60" t="s">
        <v>25</v>
      </c>
      <c r="P60" s="11" t="s">
        <v>225</v>
      </c>
      <c r="Q60" s="12" t="s">
        <v>148</v>
      </c>
      <c r="R60" s="12" t="s">
        <v>148</v>
      </c>
      <c r="S60" s="12" t="b">
        <v>1</v>
      </c>
      <c r="T60" s="12" t="b">
        <v>1</v>
      </c>
      <c r="U60" s="12">
        <v>1</v>
      </c>
      <c r="V60" s="12" t="s">
        <v>149</v>
      </c>
      <c r="W60" s="12" t="s">
        <v>149</v>
      </c>
      <c r="X60" s="12" t="b">
        <v>1</v>
      </c>
      <c r="Y60" s="12" t="b">
        <v>1</v>
      </c>
      <c r="Z60" s="12">
        <v>1</v>
      </c>
      <c r="AA60" s="12">
        <v>0.99450000000000005</v>
      </c>
      <c r="AB60" s="12" t="s">
        <v>1302</v>
      </c>
      <c r="AC60" s="12" t="s">
        <v>1560</v>
      </c>
      <c r="AD60" s="13" t="b">
        <v>1</v>
      </c>
    </row>
    <row r="61" spans="1:30">
      <c r="A61" t="s">
        <v>227</v>
      </c>
      <c r="B61" t="s">
        <v>158</v>
      </c>
      <c r="C61" t="s">
        <v>159</v>
      </c>
      <c r="D61" t="s">
        <v>19</v>
      </c>
      <c r="E61" t="s">
        <v>20</v>
      </c>
      <c r="F61" t="s">
        <v>228</v>
      </c>
      <c r="H61" t="s">
        <v>229</v>
      </c>
      <c r="J61">
        <v>12829</v>
      </c>
      <c r="L61" t="s">
        <v>180</v>
      </c>
      <c r="M61" t="s">
        <v>24</v>
      </c>
      <c r="N61" s="2" t="s">
        <v>49</v>
      </c>
      <c r="P61" s="11" t="s">
        <v>228</v>
      </c>
      <c r="Q61" s="12" t="s">
        <v>158</v>
      </c>
      <c r="R61" s="12" t="s">
        <v>1010</v>
      </c>
      <c r="S61" s="12" t="b">
        <v>0</v>
      </c>
      <c r="T61" s="12" t="b">
        <v>1</v>
      </c>
      <c r="U61" s="12">
        <v>5</v>
      </c>
      <c r="V61" s="12" t="s">
        <v>159</v>
      </c>
      <c r="W61" s="12" t="s">
        <v>822</v>
      </c>
      <c r="X61" s="12" t="b">
        <v>0</v>
      </c>
      <c r="Y61" s="12" t="b">
        <v>1</v>
      </c>
      <c r="Z61" s="12">
        <v>5</v>
      </c>
      <c r="AA61" s="12">
        <v>0.81979999999999997</v>
      </c>
      <c r="AB61" s="12" t="s">
        <v>1313</v>
      </c>
      <c r="AC61" s="12" t="s">
        <v>1561</v>
      </c>
      <c r="AD61" s="13" t="b">
        <v>1</v>
      </c>
    </row>
    <row r="62" spans="1:30">
      <c r="A62" t="s">
        <v>230</v>
      </c>
      <c r="B62" t="s">
        <v>231</v>
      </c>
      <c r="C62" t="s">
        <v>232</v>
      </c>
      <c r="D62" t="s">
        <v>127</v>
      </c>
      <c r="E62" t="s">
        <v>127</v>
      </c>
      <c r="F62" t="s">
        <v>233</v>
      </c>
      <c r="H62" t="s">
        <v>234</v>
      </c>
      <c r="J62">
        <v>23253</v>
      </c>
      <c r="L62" t="s">
        <v>180</v>
      </c>
      <c r="M62" t="s">
        <v>24</v>
      </c>
      <c r="N62" s="2" t="s">
        <v>49</v>
      </c>
      <c r="P62" s="11" t="s">
        <v>233</v>
      </c>
      <c r="Q62" s="12" t="s">
        <v>231</v>
      </c>
      <c r="R62" s="12" t="s">
        <v>233</v>
      </c>
      <c r="S62" s="12" t="b">
        <v>0</v>
      </c>
      <c r="T62" s="12" t="b">
        <v>0</v>
      </c>
      <c r="U62" s="12"/>
      <c r="V62" s="12" t="s">
        <v>232</v>
      </c>
      <c r="W62" s="12" t="s">
        <v>516</v>
      </c>
      <c r="X62" s="12" t="b">
        <v>0</v>
      </c>
      <c r="Y62" s="12" t="b">
        <v>0</v>
      </c>
      <c r="Z62" s="12"/>
      <c r="AA62" s="12">
        <v>0.9</v>
      </c>
      <c r="AB62" s="12" t="s">
        <v>1314</v>
      </c>
      <c r="AC62" s="12" t="s">
        <v>1562</v>
      </c>
      <c r="AD62" s="13" t="b">
        <v>1</v>
      </c>
    </row>
    <row r="63" spans="1:30">
      <c r="A63" t="s">
        <v>235</v>
      </c>
      <c r="B63" t="s">
        <v>236</v>
      </c>
      <c r="C63" t="s">
        <v>237</v>
      </c>
      <c r="D63" t="s">
        <v>19</v>
      </c>
      <c r="E63" t="s">
        <v>20</v>
      </c>
      <c r="F63" t="s">
        <v>238</v>
      </c>
      <c r="H63" t="s">
        <v>239</v>
      </c>
      <c r="J63">
        <v>13567</v>
      </c>
      <c r="L63" t="s">
        <v>180</v>
      </c>
      <c r="M63" t="s">
        <v>24</v>
      </c>
      <c r="N63" s="2" t="s">
        <v>49</v>
      </c>
      <c r="P63" s="11" t="s">
        <v>238</v>
      </c>
      <c r="Q63" s="12" t="s">
        <v>236</v>
      </c>
      <c r="R63" s="12"/>
      <c r="S63" s="12" t="b">
        <v>0</v>
      </c>
      <c r="T63" s="12" t="b">
        <v>0</v>
      </c>
      <c r="U63" s="12"/>
      <c r="V63" s="12" t="s">
        <v>237</v>
      </c>
      <c r="W63" s="12"/>
      <c r="X63" s="12" t="b">
        <v>0</v>
      </c>
      <c r="Y63" s="12" t="b">
        <v>0</v>
      </c>
      <c r="Z63" s="12"/>
      <c r="AA63" s="12"/>
      <c r="AB63" s="12"/>
      <c r="AC63" s="12"/>
      <c r="AD63" s="13" t="b">
        <v>0</v>
      </c>
    </row>
    <row r="64" spans="1:30">
      <c r="A64" t="s">
        <v>240</v>
      </c>
      <c r="B64" t="s">
        <v>241</v>
      </c>
      <c r="C64" t="s">
        <v>242</v>
      </c>
      <c r="D64" t="s">
        <v>19</v>
      </c>
      <c r="E64" t="s">
        <v>20</v>
      </c>
      <c r="F64" t="s">
        <v>243</v>
      </c>
      <c r="H64" t="s">
        <v>244</v>
      </c>
      <c r="J64">
        <v>11807</v>
      </c>
      <c r="L64" t="s">
        <v>180</v>
      </c>
      <c r="M64" t="s">
        <v>24</v>
      </c>
      <c r="N64" t="s">
        <v>31</v>
      </c>
      <c r="P64" s="11" t="s">
        <v>243</v>
      </c>
      <c r="Q64" s="12" t="s">
        <v>241</v>
      </c>
      <c r="R64" s="12" t="s">
        <v>241</v>
      </c>
      <c r="S64" s="12" t="b">
        <v>1</v>
      </c>
      <c r="T64" s="12" t="b">
        <v>1</v>
      </c>
      <c r="U64" s="12">
        <v>1</v>
      </c>
      <c r="V64" s="12" t="s">
        <v>242</v>
      </c>
      <c r="W64" s="12" t="s">
        <v>1219</v>
      </c>
      <c r="X64" s="12" t="b">
        <v>0</v>
      </c>
      <c r="Y64" s="12" t="b">
        <v>1</v>
      </c>
      <c r="Z64" s="12">
        <v>2</v>
      </c>
      <c r="AA64" s="12">
        <v>0.99409999999999998</v>
      </c>
      <c r="AB64" s="12" t="s">
        <v>1013</v>
      </c>
      <c r="AC64" s="12" t="s">
        <v>1563</v>
      </c>
      <c r="AD64" s="13" t="b">
        <v>1</v>
      </c>
    </row>
    <row r="65" spans="1:30">
      <c r="A65" t="s">
        <v>245</v>
      </c>
      <c r="B65" t="s">
        <v>246</v>
      </c>
      <c r="C65" t="s">
        <v>247</v>
      </c>
      <c r="D65" t="s">
        <v>19</v>
      </c>
      <c r="E65" t="s">
        <v>20</v>
      </c>
      <c r="F65" t="s">
        <v>248</v>
      </c>
      <c r="H65" t="s">
        <v>249</v>
      </c>
      <c r="J65">
        <v>14568</v>
      </c>
      <c r="L65" t="s">
        <v>180</v>
      </c>
      <c r="M65" t="s">
        <v>24</v>
      </c>
      <c r="N65" t="s">
        <v>31</v>
      </c>
      <c r="P65" s="11" t="s">
        <v>248</v>
      </c>
      <c r="Q65" s="12" t="s">
        <v>246</v>
      </c>
      <c r="R65" s="12" t="s">
        <v>246</v>
      </c>
      <c r="S65" s="12" t="b">
        <v>1</v>
      </c>
      <c r="T65" s="12" t="b">
        <v>1</v>
      </c>
      <c r="U65" s="12">
        <v>1</v>
      </c>
      <c r="V65" s="12" t="s">
        <v>247</v>
      </c>
      <c r="W65" s="12" t="s">
        <v>524</v>
      </c>
      <c r="X65" s="12" t="b">
        <v>0</v>
      </c>
      <c r="Y65" s="12" t="b">
        <v>1</v>
      </c>
      <c r="Z65" s="12">
        <v>3</v>
      </c>
      <c r="AA65" s="12">
        <v>0.9</v>
      </c>
      <c r="AB65" s="12" t="s">
        <v>1014</v>
      </c>
      <c r="AC65" s="12" t="s">
        <v>1487</v>
      </c>
      <c r="AD65" s="13" t="b">
        <v>1</v>
      </c>
    </row>
    <row r="66" spans="1:30">
      <c r="A66" t="s">
        <v>184</v>
      </c>
      <c r="B66" t="s">
        <v>185</v>
      </c>
      <c r="C66" t="s">
        <v>186</v>
      </c>
      <c r="D66" t="s">
        <v>19</v>
      </c>
      <c r="E66" t="s">
        <v>20</v>
      </c>
      <c r="F66" t="s">
        <v>184</v>
      </c>
      <c r="H66" t="s">
        <v>250</v>
      </c>
      <c r="K66" t="s">
        <v>251</v>
      </c>
      <c r="L66" t="s">
        <v>252</v>
      </c>
      <c r="M66" t="s">
        <v>24</v>
      </c>
      <c r="N66" t="s">
        <v>25</v>
      </c>
      <c r="P66" s="11" t="s">
        <v>184</v>
      </c>
      <c r="Q66" s="12" t="s">
        <v>185</v>
      </c>
      <c r="R66" s="12" t="s">
        <v>185</v>
      </c>
      <c r="S66" s="12" t="b">
        <v>1</v>
      </c>
      <c r="T66" s="12" t="b">
        <v>1</v>
      </c>
      <c r="U66" s="12">
        <v>1</v>
      </c>
      <c r="V66" s="12" t="s">
        <v>186</v>
      </c>
      <c r="W66" s="12" t="s">
        <v>486</v>
      </c>
      <c r="X66" s="12" t="b">
        <v>0</v>
      </c>
      <c r="Y66" s="12" t="b">
        <v>1</v>
      </c>
      <c r="Z66" s="12">
        <v>2</v>
      </c>
      <c r="AA66" s="12">
        <v>1.1178999999999999</v>
      </c>
      <c r="AB66" s="12" t="s">
        <v>185</v>
      </c>
      <c r="AC66" s="12" t="s">
        <v>1551</v>
      </c>
      <c r="AD66" s="13" t="b">
        <v>1</v>
      </c>
    </row>
    <row r="67" spans="1:30">
      <c r="A67" t="s">
        <v>253</v>
      </c>
      <c r="B67" t="s">
        <v>214</v>
      </c>
      <c r="C67" t="s">
        <v>254</v>
      </c>
      <c r="D67" t="s">
        <v>127</v>
      </c>
      <c r="E67" t="s">
        <v>127</v>
      </c>
      <c r="F67" t="s">
        <v>253</v>
      </c>
      <c r="H67" t="s">
        <v>127</v>
      </c>
      <c r="K67">
        <v>1680</v>
      </c>
      <c r="L67" t="s">
        <v>252</v>
      </c>
      <c r="M67" t="s">
        <v>24</v>
      </c>
      <c r="N67" t="s">
        <v>31</v>
      </c>
      <c r="P67" s="11" t="s">
        <v>253</v>
      </c>
      <c r="Q67" s="12" t="s">
        <v>214</v>
      </c>
      <c r="R67" s="12" t="s">
        <v>214</v>
      </c>
      <c r="S67" s="12" t="b">
        <v>1</v>
      </c>
      <c r="T67" s="12" t="b">
        <v>1</v>
      </c>
      <c r="U67" s="12">
        <v>1</v>
      </c>
      <c r="V67" s="12" t="s">
        <v>254</v>
      </c>
      <c r="W67" s="12" t="s">
        <v>254</v>
      </c>
      <c r="X67" s="12" t="b">
        <v>1</v>
      </c>
      <c r="Y67" s="12" t="b">
        <v>1</v>
      </c>
      <c r="Z67" s="12">
        <v>1</v>
      </c>
      <c r="AA67" s="12">
        <v>1.2</v>
      </c>
      <c r="AB67" s="12" t="s">
        <v>1015</v>
      </c>
      <c r="AC67" s="12" t="s">
        <v>1564</v>
      </c>
      <c r="AD67" s="13" t="b">
        <v>1</v>
      </c>
    </row>
    <row r="68" spans="1:30">
      <c r="A68" t="s">
        <v>255</v>
      </c>
      <c r="B68" t="s">
        <v>256</v>
      </c>
      <c r="C68" t="s">
        <v>257</v>
      </c>
      <c r="D68" t="s">
        <v>79</v>
      </c>
      <c r="E68" t="s">
        <v>20</v>
      </c>
      <c r="F68" t="s">
        <v>258</v>
      </c>
      <c r="H68" t="s">
        <v>259</v>
      </c>
      <c r="K68" t="s">
        <v>260</v>
      </c>
      <c r="L68" t="s">
        <v>252</v>
      </c>
      <c r="M68" t="s">
        <v>24</v>
      </c>
      <c r="N68" t="s">
        <v>31</v>
      </c>
      <c r="P68" s="11" t="s">
        <v>1016</v>
      </c>
      <c r="Q68" s="12" t="s">
        <v>256</v>
      </c>
      <c r="R68" s="12" t="s">
        <v>256</v>
      </c>
      <c r="S68" s="12" t="b">
        <v>1</v>
      </c>
      <c r="T68" s="12" t="b">
        <v>1</v>
      </c>
      <c r="U68" s="12">
        <v>1</v>
      </c>
      <c r="V68" s="12" t="s">
        <v>257</v>
      </c>
      <c r="W68" s="12" t="s">
        <v>257</v>
      </c>
      <c r="X68" s="12" t="b">
        <v>1</v>
      </c>
      <c r="Y68" s="12" t="b">
        <v>1</v>
      </c>
      <c r="Z68" s="12">
        <v>1</v>
      </c>
      <c r="AA68" s="12">
        <v>1.2</v>
      </c>
      <c r="AB68" s="12" t="s">
        <v>256</v>
      </c>
      <c r="AC68" s="12" t="s">
        <v>531</v>
      </c>
      <c r="AD68" s="13" t="b">
        <v>1</v>
      </c>
    </row>
    <row r="69" spans="1:30">
      <c r="A69" t="s">
        <v>261</v>
      </c>
      <c r="B69" t="s">
        <v>262</v>
      </c>
      <c r="C69" t="s">
        <v>263</v>
      </c>
      <c r="D69" t="s">
        <v>19</v>
      </c>
      <c r="E69" t="s">
        <v>20</v>
      </c>
      <c r="F69" t="s">
        <v>261</v>
      </c>
      <c r="H69" t="s">
        <v>189</v>
      </c>
      <c r="K69" t="s">
        <v>264</v>
      </c>
      <c r="L69" t="s">
        <v>252</v>
      </c>
      <c r="M69" t="s">
        <v>24</v>
      </c>
      <c r="N69" t="s">
        <v>31</v>
      </c>
      <c r="P69" s="11" t="s">
        <v>261</v>
      </c>
      <c r="Q69" s="12" t="s">
        <v>262</v>
      </c>
      <c r="R69" s="12" t="s">
        <v>262</v>
      </c>
      <c r="S69" s="12" t="b">
        <v>1</v>
      </c>
      <c r="T69" s="12" t="b">
        <v>1</v>
      </c>
      <c r="U69" s="12">
        <v>1</v>
      </c>
      <c r="V69" s="12" t="s">
        <v>263</v>
      </c>
      <c r="W69" s="12" t="s">
        <v>263</v>
      </c>
      <c r="X69" s="12" t="b">
        <v>1</v>
      </c>
      <c r="Y69" s="12" t="b">
        <v>1</v>
      </c>
      <c r="Z69" s="12">
        <v>1</v>
      </c>
      <c r="AA69" s="12">
        <v>1.2</v>
      </c>
      <c r="AB69" s="12" t="s">
        <v>1315</v>
      </c>
      <c r="AC69" s="12" t="s">
        <v>1565</v>
      </c>
      <c r="AD69" s="13" t="b">
        <v>1</v>
      </c>
    </row>
    <row r="70" spans="1:30">
      <c r="A70" t="s">
        <v>265</v>
      </c>
      <c r="B70" t="s">
        <v>266</v>
      </c>
      <c r="C70" t="s">
        <v>267</v>
      </c>
      <c r="D70" t="s">
        <v>19</v>
      </c>
      <c r="E70" t="s">
        <v>20</v>
      </c>
      <c r="F70" t="s">
        <v>268</v>
      </c>
      <c r="H70" t="s">
        <v>269</v>
      </c>
      <c r="K70">
        <v>2207</v>
      </c>
      <c r="L70" t="s">
        <v>252</v>
      </c>
      <c r="M70" t="s">
        <v>24</v>
      </c>
      <c r="N70" s="2" t="s">
        <v>49</v>
      </c>
      <c r="P70" s="11" t="s">
        <v>268</v>
      </c>
      <c r="Q70" s="12" t="s">
        <v>266</v>
      </c>
      <c r="R70" s="12" t="s">
        <v>266</v>
      </c>
      <c r="S70" s="12" t="b">
        <v>1</v>
      </c>
      <c r="T70" s="12" t="b">
        <v>1</v>
      </c>
      <c r="U70" s="12">
        <v>1</v>
      </c>
      <c r="V70" s="12" t="s">
        <v>267</v>
      </c>
      <c r="W70" s="12" t="s">
        <v>267</v>
      </c>
      <c r="X70" s="12" t="b">
        <v>1</v>
      </c>
      <c r="Y70" s="12" t="b">
        <v>1</v>
      </c>
      <c r="Z70" s="12">
        <v>1</v>
      </c>
      <c r="AA70" s="12">
        <v>1.0848</v>
      </c>
      <c r="AB70" s="12" t="s">
        <v>266</v>
      </c>
      <c r="AC70" s="12" t="s">
        <v>1566</v>
      </c>
      <c r="AD70" s="13" t="b">
        <v>1</v>
      </c>
    </row>
    <row r="71" spans="1:30">
      <c r="A71" t="s">
        <v>270</v>
      </c>
      <c r="B71" t="s">
        <v>271</v>
      </c>
      <c r="C71" s="3" t="s">
        <v>272</v>
      </c>
      <c r="D71" t="s">
        <v>79</v>
      </c>
      <c r="E71" t="s">
        <v>20</v>
      </c>
      <c r="F71" t="s">
        <v>273</v>
      </c>
      <c r="H71" t="s">
        <v>259</v>
      </c>
      <c r="K71">
        <v>1915</v>
      </c>
      <c r="L71" t="s">
        <v>252</v>
      </c>
      <c r="M71" t="s">
        <v>24</v>
      </c>
      <c r="N71" t="s">
        <v>25</v>
      </c>
      <c r="P71" s="11" t="s">
        <v>273</v>
      </c>
      <c r="Q71" s="12" t="s">
        <v>271</v>
      </c>
      <c r="R71" s="12" t="s">
        <v>271</v>
      </c>
      <c r="S71" s="12" t="b">
        <v>1</v>
      </c>
      <c r="T71" s="12" t="b">
        <v>1</v>
      </c>
      <c r="U71" s="12">
        <v>1</v>
      </c>
      <c r="V71" s="12" t="s">
        <v>272</v>
      </c>
      <c r="W71" s="12" t="s">
        <v>272</v>
      </c>
      <c r="X71" s="12" t="b">
        <v>1</v>
      </c>
      <c r="Y71" s="12" t="b">
        <v>1</v>
      </c>
      <c r="Z71" s="12">
        <v>1</v>
      </c>
      <c r="AA71" s="12">
        <v>0.85899999999999999</v>
      </c>
      <c r="AB71" s="12" t="s">
        <v>271</v>
      </c>
      <c r="AC71" s="12" t="s">
        <v>1567</v>
      </c>
      <c r="AD71" s="13" t="b">
        <v>1</v>
      </c>
    </row>
    <row r="72" spans="1:30">
      <c r="A72" t="s">
        <v>274</v>
      </c>
      <c r="B72" t="s">
        <v>275</v>
      </c>
      <c r="C72" t="s">
        <v>276</v>
      </c>
      <c r="D72" t="s">
        <v>44</v>
      </c>
      <c r="E72" t="s">
        <v>20</v>
      </c>
      <c r="F72" t="s">
        <v>277</v>
      </c>
      <c r="H72" t="s">
        <v>278</v>
      </c>
      <c r="K72">
        <v>1926</v>
      </c>
      <c r="L72" t="s">
        <v>252</v>
      </c>
      <c r="M72" t="s">
        <v>24</v>
      </c>
      <c r="N72" t="s">
        <v>31</v>
      </c>
      <c r="P72" s="11" t="s">
        <v>277</v>
      </c>
      <c r="Q72" s="12" t="s">
        <v>275</v>
      </c>
      <c r="R72" s="12" t="s">
        <v>275</v>
      </c>
      <c r="S72" s="12" t="b">
        <v>1</v>
      </c>
      <c r="T72" s="12" t="b">
        <v>1</v>
      </c>
      <c r="U72" s="12">
        <v>1</v>
      </c>
      <c r="V72" s="12" t="s">
        <v>276</v>
      </c>
      <c r="W72" s="12" t="s">
        <v>276</v>
      </c>
      <c r="X72" s="12" t="b">
        <v>1</v>
      </c>
      <c r="Y72" s="12" t="b">
        <v>1</v>
      </c>
      <c r="Z72" s="12">
        <v>1</v>
      </c>
      <c r="AA72" s="12">
        <v>1</v>
      </c>
      <c r="AB72" s="12" t="s">
        <v>275</v>
      </c>
      <c r="AC72" s="12" t="s">
        <v>1568</v>
      </c>
      <c r="AD72" s="13" t="b">
        <v>1</v>
      </c>
    </row>
    <row r="73" spans="1:30">
      <c r="A73" t="s">
        <v>279</v>
      </c>
      <c r="B73" t="s">
        <v>280</v>
      </c>
      <c r="C73" t="s">
        <v>281</v>
      </c>
      <c r="D73" t="s">
        <v>79</v>
      </c>
      <c r="E73" t="s">
        <v>20</v>
      </c>
      <c r="F73" t="s">
        <v>282</v>
      </c>
      <c r="H73" t="s">
        <v>82</v>
      </c>
      <c r="K73" t="s">
        <v>283</v>
      </c>
      <c r="L73" t="s">
        <v>252</v>
      </c>
      <c r="M73" t="s">
        <v>24</v>
      </c>
      <c r="N73" t="s">
        <v>25</v>
      </c>
      <c r="P73" s="11" t="s">
        <v>282</v>
      </c>
      <c r="Q73" s="12" t="s">
        <v>280</v>
      </c>
      <c r="R73" s="12" t="s">
        <v>280</v>
      </c>
      <c r="S73" s="12" t="b">
        <v>1</v>
      </c>
      <c r="T73" s="12" t="b">
        <v>1</v>
      </c>
      <c r="U73" s="12">
        <v>1</v>
      </c>
      <c r="V73" s="12" t="s">
        <v>281</v>
      </c>
      <c r="W73" s="12" t="s">
        <v>541</v>
      </c>
      <c r="X73" s="12" t="b">
        <v>0</v>
      </c>
      <c r="Y73" s="12" t="b">
        <v>1</v>
      </c>
      <c r="Z73" s="12">
        <v>2</v>
      </c>
      <c r="AA73" s="12">
        <v>0.91859999999999997</v>
      </c>
      <c r="AB73" s="12" t="s">
        <v>1316</v>
      </c>
      <c r="AC73" s="12" t="s">
        <v>1569</v>
      </c>
      <c r="AD73" s="13" t="b">
        <v>1</v>
      </c>
    </row>
    <row r="74" spans="1:30">
      <c r="A74" t="s">
        <v>284</v>
      </c>
      <c r="B74" t="s">
        <v>285</v>
      </c>
      <c r="C74" t="s">
        <v>286</v>
      </c>
      <c r="D74" t="s">
        <v>127</v>
      </c>
      <c r="E74" t="s">
        <v>127</v>
      </c>
      <c r="F74" t="s">
        <v>284</v>
      </c>
      <c r="H74" t="s">
        <v>127</v>
      </c>
      <c r="K74">
        <v>1766</v>
      </c>
      <c r="L74" t="s">
        <v>252</v>
      </c>
      <c r="M74" t="s">
        <v>24</v>
      </c>
      <c r="N74" t="s">
        <v>25</v>
      </c>
      <c r="P74" s="11" t="s">
        <v>284</v>
      </c>
      <c r="Q74" s="12" t="s">
        <v>285</v>
      </c>
      <c r="R74" s="12" t="s">
        <v>1034</v>
      </c>
      <c r="S74" s="12" t="b">
        <v>0</v>
      </c>
      <c r="T74" s="12" t="b">
        <v>1</v>
      </c>
      <c r="U74" s="12">
        <v>4</v>
      </c>
      <c r="V74" s="12" t="s">
        <v>286</v>
      </c>
      <c r="W74" s="12" t="s">
        <v>286</v>
      </c>
      <c r="X74" s="12" t="b">
        <v>1</v>
      </c>
      <c r="Y74" s="12" t="b">
        <v>1</v>
      </c>
      <c r="Z74" s="12">
        <v>1</v>
      </c>
      <c r="AA74" s="12">
        <v>0.91569999999999996</v>
      </c>
      <c r="AB74" s="12" t="s">
        <v>1317</v>
      </c>
      <c r="AC74" s="12" t="s">
        <v>1570</v>
      </c>
      <c r="AD74" s="13" t="b">
        <v>1</v>
      </c>
    </row>
    <row r="75" spans="1:30">
      <c r="A75" t="s">
        <v>287</v>
      </c>
      <c r="B75" t="s">
        <v>288</v>
      </c>
      <c r="C75" t="s">
        <v>289</v>
      </c>
      <c r="D75" t="s">
        <v>127</v>
      </c>
      <c r="E75" t="s">
        <v>127</v>
      </c>
      <c r="F75" t="s">
        <v>290</v>
      </c>
      <c r="H75" t="s">
        <v>127</v>
      </c>
      <c r="K75">
        <v>1687</v>
      </c>
      <c r="L75" t="s">
        <v>252</v>
      </c>
      <c r="M75" t="s">
        <v>24</v>
      </c>
      <c r="N75" t="s">
        <v>25</v>
      </c>
      <c r="P75" s="11" t="s">
        <v>290</v>
      </c>
      <c r="Q75" s="12" t="s">
        <v>288</v>
      </c>
      <c r="R75" s="12" t="s">
        <v>288</v>
      </c>
      <c r="S75" s="12" t="b">
        <v>1</v>
      </c>
      <c r="T75" s="12" t="b">
        <v>1</v>
      </c>
      <c r="U75" s="12">
        <v>1</v>
      </c>
      <c r="V75" s="12" t="s">
        <v>289</v>
      </c>
      <c r="W75" s="12" t="s">
        <v>546</v>
      </c>
      <c r="X75" s="12" t="b">
        <v>0</v>
      </c>
      <c r="Y75" s="12" t="b">
        <v>1</v>
      </c>
      <c r="Z75" s="12">
        <v>2</v>
      </c>
      <c r="AA75" s="12">
        <v>0.8175</v>
      </c>
      <c r="AB75" s="12" t="s">
        <v>1319</v>
      </c>
      <c r="AC75" s="12" t="s">
        <v>1571</v>
      </c>
      <c r="AD75" s="13" t="b">
        <v>1</v>
      </c>
    </row>
    <row r="76" spans="1:30">
      <c r="A76" t="s">
        <v>291</v>
      </c>
      <c r="B76" t="s">
        <v>292</v>
      </c>
      <c r="C76" t="s">
        <v>293</v>
      </c>
      <c r="D76" t="s">
        <v>19</v>
      </c>
      <c r="E76" t="s">
        <v>20</v>
      </c>
      <c r="F76" t="s">
        <v>291</v>
      </c>
      <c r="H76" t="s">
        <v>294</v>
      </c>
      <c r="K76" t="s">
        <v>295</v>
      </c>
      <c r="L76" t="s">
        <v>252</v>
      </c>
      <c r="M76" t="s">
        <v>24</v>
      </c>
      <c r="N76" t="s">
        <v>25</v>
      </c>
      <c r="P76" s="11" t="s">
        <v>291</v>
      </c>
      <c r="Q76" s="12" t="s">
        <v>292</v>
      </c>
      <c r="R76" s="12" t="s">
        <v>292</v>
      </c>
      <c r="S76" s="12" t="b">
        <v>1</v>
      </c>
      <c r="T76" s="12" t="b">
        <v>1</v>
      </c>
      <c r="U76" s="12">
        <v>1</v>
      </c>
      <c r="V76" s="12" t="s">
        <v>293</v>
      </c>
      <c r="W76" s="12" t="s">
        <v>1496</v>
      </c>
      <c r="X76" s="12" t="b">
        <v>0</v>
      </c>
      <c r="Y76" s="12" t="b">
        <v>0</v>
      </c>
      <c r="Z76" s="12">
        <v>7</v>
      </c>
      <c r="AA76" s="12">
        <v>0.90880000000000005</v>
      </c>
      <c r="AB76" s="12" t="s">
        <v>1320</v>
      </c>
      <c r="AC76" s="12" t="s">
        <v>1572</v>
      </c>
      <c r="AD76" s="13" t="b">
        <v>1</v>
      </c>
    </row>
    <row r="77" spans="1:30">
      <c r="A77" t="s">
        <v>296</v>
      </c>
      <c r="B77" t="s">
        <v>297</v>
      </c>
      <c r="C77" t="s">
        <v>298</v>
      </c>
      <c r="D77" t="s">
        <v>19</v>
      </c>
      <c r="E77" t="s">
        <v>20</v>
      </c>
      <c r="F77" t="s">
        <v>299</v>
      </c>
      <c r="H77" t="s">
        <v>300</v>
      </c>
      <c r="K77" t="s">
        <v>301</v>
      </c>
      <c r="L77" t="s">
        <v>252</v>
      </c>
      <c r="M77" t="s">
        <v>24</v>
      </c>
      <c r="N77" t="s">
        <v>25</v>
      </c>
      <c r="P77" s="11" t="s">
        <v>299</v>
      </c>
      <c r="Q77" s="12" t="s">
        <v>297</v>
      </c>
      <c r="R77" s="12" t="s">
        <v>297</v>
      </c>
      <c r="S77" s="12" t="b">
        <v>1</v>
      </c>
      <c r="T77" s="12" t="b">
        <v>1</v>
      </c>
      <c r="U77" s="12">
        <v>1</v>
      </c>
      <c r="V77" s="12" t="s">
        <v>298</v>
      </c>
      <c r="W77" s="12" t="s">
        <v>298</v>
      </c>
      <c r="X77" s="12" t="b">
        <v>1</v>
      </c>
      <c r="Y77" s="12" t="b">
        <v>1</v>
      </c>
      <c r="Z77" s="12">
        <v>1</v>
      </c>
      <c r="AA77" s="12">
        <v>0.87060000000000004</v>
      </c>
      <c r="AB77" s="12" t="s">
        <v>1022</v>
      </c>
      <c r="AC77" s="12" t="s">
        <v>1573</v>
      </c>
      <c r="AD77" s="13" t="b">
        <v>1</v>
      </c>
    </row>
    <row r="78" spans="1:30">
      <c r="A78" t="s">
        <v>302</v>
      </c>
      <c r="B78" t="s">
        <v>100</v>
      </c>
      <c r="C78" t="s">
        <v>303</v>
      </c>
      <c r="D78" t="s">
        <v>79</v>
      </c>
      <c r="E78" t="s">
        <v>79</v>
      </c>
      <c r="F78" t="s">
        <v>304</v>
      </c>
      <c r="H78" t="s">
        <v>82</v>
      </c>
      <c r="K78" t="s">
        <v>305</v>
      </c>
      <c r="L78" t="s">
        <v>252</v>
      </c>
      <c r="M78" t="s">
        <v>24</v>
      </c>
      <c r="N78" t="s">
        <v>31</v>
      </c>
      <c r="P78" s="11" t="s">
        <v>304</v>
      </c>
      <c r="Q78" s="12" t="s">
        <v>100</v>
      </c>
      <c r="R78" s="12" t="s">
        <v>100</v>
      </c>
      <c r="S78" s="12" t="b">
        <v>1</v>
      </c>
      <c r="T78" s="12" t="b">
        <v>1</v>
      </c>
      <c r="U78" s="12">
        <v>1</v>
      </c>
      <c r="V78" s="12" t="s">
        <v>303</v>
      </c>
      <c r="W78" s="12" t="s">
        <v>670</v>
      </c>
      <c r="X78" s="12" t="b">
        <v>0</v>
      </c>
      <c r="Y78" s="12" t="b">
        <v>1</v>
      </c>
      <c r="Z78" s="12">
        <v>3</v>
      </c>
      <c r="AA78" s="12">
        <v>1</v>
      </c>
      <c r="AB78" s="12" t="s">
        <v>1321</v>
      </c>
      <c r="AC78" s="12" t="s">
        <v>671</v>
      </c>
      <c r="AD78" s="13" t="b">
        <v>1</v>
      </c>
    </row>
    <row r="79" spans="1:30">
      <c r="A79" t="s">
        <v>306</v>
      </c>
      <c r="B79" t="s">
        <v>307</v>
      </c>
      <c r="C79" t="s">
        <v>308</v>
      </c>
      <c r="D79" t="s">
        <v>19</v>
      </c>
      <c r="E79" t="s">
        <v>20</v>
      </c>
      <c r="F79" t="s">
        <v>309</v>
      </c>
      <c r="H79" t="s">
        <v>310</v>
      </c>
      <c r="K79" t="s">
        <v>311</v>
      </c>
      <c r="L79" t="s">
        <v>252</v>
      </c>
      <c r="M79" t="s">
        <v>24</v>
      </c>
      <c r="N79" t="s">
        <v>25</v>
      </c>
      <c r="P79" s="11" t="s">
        <v>309</v>
      </c>
      <c r="Q79" s="12" t="s">
        <v>307</v>
      </c>
      <c r="R79" s="12" t="s">
        <v>307</v>
      </c>
      <c r="S79" s="12" t="b">
        <v>1</v>
      </c>
      <c r="T79" s="12" t="b">
        <v>1</v>
      </c>
      <c r="U79" s="12">
        <v>1</v>
      </c>
      <c r="V79" s="12" t="s">
        <v>308</v>
      </c>
      <c r="W79" s="12" t="s">
        <v>308</v>
      </c>
      <c r="X79" s="12" t="b">
        <v>1</v>
      </c>
      <c r="Y79" s="12" t="b">
        <v>1</v>
      </c>
      <c r="Z79" s="12">
        <v>1</v>
      </c>
      <c r="AA79" s="12">
        <v>0.91790000000000005</v>
      </c>
      <c r="AB79" s="12" t="s">
        <v>307</v>
      </c>
      <c r="AC79" s="12" t="s">
        <v>1574</v>
      </c>
      <c r="AD79" s="13" t="b">
        <v>1</v>
      </c>
    </row>
    <row r="80" spans="1:30">
      <c r="A80" t="s">
        <v>184</v>
      </c>
      <c r="B80" t="s">
        <v>185</v>
      </c>
      <c r="C80" t="s">
        <v>186</v>
      </c>
      <c r="D80" t="s">
        <v>19</v>
      </c>
      <c r="E80" t="s">
        <v>20</v>
      </c>
      <c r="F80" t="s">
        <v>185</v>
      </c>
      <c r="L80" t="s">
        <v>312</v>
      </c>
      <c r="M80" t="s">
        <v>24</v>
      </c>
      <c r="N80" t="s">
        <v>25</v>
      </c>
      <c r="P80" s="11" t="s">
        <v>185</v>
      </c>
      <c r="Q80" s="12" t="s">
        <v>185</v>
      </c>
      <c r="R80" s="12" t="s">
        <v>185</v>
      </c>
      <c r="S80" s="12" t="b">
        <v>1</v>
      </c>
      <c r="T80" s="12" t="b">
        <v>1</v>
      </c>
      <c r="U80" s="12">
        <v>1</v>
      </c>
      <c r="V80" s="12" t="s">
        <v>186</v>
      </c>
      <c r="W80" s="12" t="s">
        <v>558</v>
      </c>
      <c r="X80" s="12" t="b">
        <v>0</v>
      </c>
      <c r="Y80" s="12" t="b">
        <v>1</v>
      </c>
      <c r="Z80" s="12">
        <v>2</v>
      </c>
      <c r="AA80" s="12">
        <v>0.98780000000000001</v>
      </c>
      <c r="AB80" s="12" t="s">
        <v>1023</v>
      </c>
      <c r="AC80" s="12" t="s">
        <v>1575</v>
      </c>
      <c r="AD80" s="13" t="b">
        <v>1</v>
      </c>
    </row>
    <row r="81" spans="1:30">
      <c r="A81" t="s">
        <v>313</v>
      </c>
      <c r="B81" t="s">
        <v>221</v>
      </c>
      <c r="C81" t="s">
        <v>314</v>
      </c>
      <c r="D81" t="s">
        <v>127</v>
      </c>
      <c r="E81" t="s">
        <v>127</v>
      </c>
      <c r="F81" t="s">
        <v>221</v>
      </c>
      <c r="L81" t="s">
        <v>312</v>
      </c>
      <c r="M81" t="s">
        <v>24</v>
      </c>
      <c r="N81" t="s">
        <v>25</v>
      </c>
      <c r="P81" s="11" t="s">
        <v>221</v>
      </c>
      <c r="Q81" s="12" t="s">
        <v>221</v>
      </c>
      <c r="R81" s="12" t="s">
        <v>221</v>
      </c>
      <c r="S81" s="12" t="b">
        <v>1</v>
      </c>
      <c r="T81" s="12" t="b">
        <v>1</v>
      </c>
      <c r="U81" s="12">
        <v>1</v>
      </c>
      <c r="V81" s="12" t="s">
        <v>314</v>
      </c>
      <c r="W81" s="12" t="s">
        <v>560</v>
      </c>
      <c r="X81" s="12" t="b">
        <v>0</v>
      </c>
      <c r="Y81" s="12" t="b">
        <v>1</v>
      </c>
      <c r="Z81" s="12">
        <v>3</v>
      </c>
      <c r="AA81" s="12">
        <v>1</v>
      </c>
      <c r="AB81" s="12" t="s">
        <v>221</v>
      </c>
      <c r="AC81" s="12" t="s">
        <v>561</v>
      </c>
      <c r="AD81" s="13" t="b">
        <v>1</v>
      </c>
    </row>
    <row r="82" spans="1:30">
      <c r="A82" t="s">
        <v>315</v>
      </c>
      <c r="B82" t="s">
        <v>316</v>
      </c>
      <c r="C82" t="s">
        <v>317</v>
      </c>
      <c r="D82" t="s">
        <v>44</v>
      </c>
      <c r="E82" t="s">
        <v>20</v>
      </c>
      <c r="F82" t="s">
        <v>316</v>
      </c>
      <c r="L82" t="s">
        <v>312</v>
      </c>
      <c r="M82" t="s">
        <v>24</v>
      </c>
      <c r="N82" t="s">
        <v>25</v>
      </c>
      <c r="P82" s="11" t="s">
        <v>316</v>
      </c>
      <c r="Q82" s="12" t="s">
        <v>316</v>
      </c>
      <c r="R82" s="12" t="s">
        <v>316</v>
      </c>
      <c r="S82" s="12" t="b">
        <v>1</v>
      </c>
      <c r="T82" s="12" t="b">
        <v>1</v>
      </c>
      <c r="U82" s="12">
        <v>1</v>
      </c>
      <c r="V82" s="12" t="s">
        <v>317</v>
      </c>
      <c r="W82" s="12" t="s">
        <v>562</v>
      </c>
      <c r="X82" s="12" t="b">
        <v>0</v>
      </c>
      <c r="Y82" s="12" t="b">
        <v>1</v>
      </c>
      <c r="Z82" s="12">
        <v>5</v>
      </c>
      <c r="AA82" s="12">
        <v>1</v>
      </c>
      <c r="AB82" s="12" t="s">
        <v>1322</v>
      </c>
      <c r="AC82" s="12" t="s">
        <v>1576</v>
      </c>
      <c r="AD82" s="13" t="b">
        <v>1</v>
      </c>
    </row>
    <row r="83" spans="1:30">
      <c r="A83" t="s">
        <v>318</v>
      </c>
      <c r="B83" t="s">
        <v>316</v>
      </c>
      <c r="C83" t="s">
        <v>319</v>
      </c>
      <c r="D83" t="s">
        <v>127</v>
      </c>
      <c r="E83" t="s">
        <v>127</v>
      </c>
      <c r="F83" t="s">
        <v>316</v>
      </c>
      <c r="L83" t="s">
        <v>312</v>
      </c>
      <c r="M83" t="s">
        <v>24</v>
      </c>
      <c r="N83" t="s">
        <v>25</v>
      </c>
      <c r="P83" s="11" t="s">
        <v>316</v>
      </c>
      <c r="Q83" s="12" t="s">
        <v>316</v>
      </c>
      <c r="R83" s="12" t="s">
        <v>316</v>
      </c>
      <c r="S83" s="12" t="b">
        <v>1</v>
      </c>
      <c r="T83" s="12" t="b">
        <v>1</v>
      </c>
      <c r="U83" s="12">
        <v>1</v>
      </c>
      <c r="V83" s="12" t="s">
        <v>319</v>
      </c>
      <c r="W83" s="12" t="s">
        <v>562</v>
      </c>
      <c r="X83" s="12" t="b">
        <v>0</v>
      </c>
      <c r="Y83" s="12" t="b">
        <v>1</v>
      </c>
      <c r="Z83" s="12">
        <v>3</v>
      </c>
      <c r="AA83" s="12">
        <v>1</v>
      </c>
      <c r="AB83" s="12" t="s">
        <v>1322</v>
      </c>
      <c r="AC83" s="12" t="s">
        <v>1576</v>
      </c>
      <c r="AD83" s="13" t="b">
        <v>1</v>
      </c>
    </row>
    <row r="84" spans="1:30">
      <c r="A84" t="s">
        <v>320</v>
      </c>
      <c r="B84" t="s">
        <v>321</v>
      </c>
      <c r="C84" t="s">
        <v>322</v>
      </c>
      <c r="D84" t="s">
        <v>127</v>
      </c>
      <c r="E84" t="s">
        <v>127</v>
      </c>
      <c r="F84" t="s">
        <v>321</v>
      </c>
      <c r="L84" t="s">
        <v>312</v>
      </c>
      <c r="M84" t="s">
        <v>24</v>
      </c>
      <c r="N84" t="s">
        <v>25</v>
      </c>
      <c r="P84" s="11" t="s">
        <v>321</v>
      </c>
      <c r="Q84" s="12" t="s">
        <v>321</v>
      </c>
      <c r="R84" s="12" t="s">
        <v>321</v>
      </c>
      <c r="S84" s="12" t="b">
        <v>1</v>
      </c>
      <c r="T84" s="12" t="b">
        <v>1</v>
      </c>
      <c r="U84" s="12">
        <v>1</v>
      </c>
      <c r="V84" s="12" t="s">
        <v>322</v>
      </c>
      <c r="W84" s="12" t="s">
        <v>675</v>
      </c>
      <c r="X84" s="12" t="b">
        <v>0</v>
      </c>
      <c r="Y84" s="12" t="b">
        <v>1</v>
      </c>
      <c r="Z84" s="12">
        <v>2</v>
      </c>
      <c r="AA84" s="12">
        <v>1</v>
      </c>
      <c r="AB84" s="12" t="s">
        <v>1323</v>
      </c>
      <c r="AC84" s="12" t="s">
        <v>1577</v>
      </c>
      <c r="AD84" s="13" t="b">
        <v>1</v>
      </c>
    </row>
    <row r="85" spans="1:30">
      <c r="A85" t="s">
        <v>324</v>
      </c>
      <c r="B85" t="s">
        <v>148</v>
      </c>
      <c r="C85" t="s">
        <v>325</v>
      </c>
      <c r="D85" t="s">
        <v>79</v>
      </c>
      <c r="E85" t="s">
        <v>20</v>
      </c>
      <c r="F85" t="s">
        <v>148</v>
      </c>
      <c r="L85" t="s">
        <v>312</v>
      </c>
      <c r="M85" t="s">
        <v>24</v>
      </c>
      <c r="N85" t="s">
        <v>25</v>
      </c>
      <c r="P85" s="11" t="s">
        <v>148</v>
      </c>
      <c r="Q85" s="12" t="s">
        <v>148</v>
      </c>
      <c r="R85" s="12" t="s">
        <v>148</v>
      </c>
      <c r="S85" s="12" t="b">
        <v>1</v>
      </c>
      <c r="T85" s="12" t="b">
        <v>1</v>
      </c>
      <c r="U85" s="12">
        <v>1</v>
      </c>
      <c r="V85" s="12" t="s">
        <v>325</v>
      </c>
      <c r="W85" s="12" t="s">
        <v>325</v>
      </c>
      <c r="X85" s="12" t="b">
        <v>1</v>
      </c>
      <c r="Y85" s="12" t="b">
        <v>1</v>
      </c>
      <c r="Z85" s="12">
        <v>1</v>
      </c>
      <c r="AA85" s="12">
        <v>0.89759999999999995</v>
      </c>
      <c r="AB85" s="12" t="s">
        <v>1026</v>
      </c>
      <c r="AC85" s="12" t="s">
        <v>1578</v>
      </c>
      <c r="AD85" s="13" t="b">
        <v>1</v>
      </c>
    </row>
    <row r="86" spans="1:30">
      <c r="A86" t="s">
        <v>326</v>
      </c>
      <c r="B86" t="s">
        <v>100</v>
      </c>
      <c r="C86" t="s">
        <v>101</v>
      </c>
      <c r="D86" t="s">
        <v>44</v>
      </c>
      <c r="E86" t="s">
        <v>20</v>
      </c>
      <c r="F86" t="s">
        <v>100</v>
      </c>
      <c r="L86" t="s">
        <v>312</v>
      </c>
      <c r="M86" t="s">
        <v>24</v>
      </c>
      <c r="N86" t="s">
        <v>25</v>
      </c>
      <c r="P86" s="11" t="s">
        <v>100</v>
      </c>
      <c r="Q86" s="12" t="s">
        <v>100</v>
      </c>
      <c r="R86" s="12" t="s">
        <v>100</v>
      </c>
      <c r="S86" s="12" t="b">
        <v>1</v>
      </c>
      <c r="T86" s="12" t="b">
        <v>1</v>
      </c>
      <c r="U86" s="12">
        <v>1</v>
      </c>
      <c r="V86" s="12" t="s">
        <v>101</v>
      </c>
      <c r="W86" s="12" t="s">
        <v>303</v>
      </c>
      <c r="X86" s="12" t="b">
        <v>0</v>
      </c>
      <c r="Y86" s="12" t="b">
        <v>1</v>
      </c>
      <c r="Z86" s="12">
        <v>4</v>
      </c>
      <c r="AA86" s="12">
        <v>1</v>
      </c>
      <c r="AB86" s="12" t="s">
        <v>1324</v>
      </c>
      <c r="AC86" s="12" t="s">
        <v>566</v>
      </c>
      <c r="AD86" s="13" t="b">
        <v>1</v>
      </c>
    </row>
    <row r="87" spans="1:30">
      <c r="A87" t="s">
        <v>199</v>
      </c>
      <c r="B87" t="s">
        <v>200</v>
      </c>
      <c r="C87" t="s">
        <v>201</v>
      </c>
      <c r="D87" t="s">
        <v>19</v>
      </c>
      <c r="E87" t="s">
        <v>20</v>
      </c>
      <c r="F87" t="s">
        <v>200</v>
      </c>
      <c r="L87" t="s">
        <v>312</v>
      </c>
      <c r="M87" t="s">
        <v>24</v>
      </c>
      <c r="N87" t="s">
        <v>25</v>
      </c>
      <c r="P87" s="11" t="s">
        <v>200</v>
      </c>
      <c r="Q87" s="12" t="s">
        <v>200</v>
      </c>
      <c r="R87" s="12" t="s">
        <v>200</v>
      </c>
      <c r="S87" s="12" t="b">
        <v>1</v>
      </c>
      <c r="T87" s="12" t="b">
        <v>1</v>
      </c>
      <c r="U87" s="12">
        <v>1</v>
      </c>
      <c r="V87" s="12" t="s">
        <v>201</v>
      </c>
      <c r="W87" s="12" t="s">
        <v>567</v>
      </c>
      <c r="X87" s="12" t="b">
        <v>0</v>
      </c>
      <c r="Y87" s="12" t="b">
        <v>1</v>
      </c>
      <c r="Z87" s="12">
        <v>3</v>
      </c>
      <c r="AA87" s="12">
        <v>0.95199999999999996</v>
      </c>
      <c r="AB87" s="12" t="s">
        <v>200</v>
      </c>
      <c r="AC87" s="12" t="s">
        <v>568</v>
      </c>
      <c r="AD87" s="13" t="b">
        <v>1</v>
      </c>
    </row>
    <row r="88" spans="1:30">
      <c r="A88" t="s">
        <v>327</v>
      </c>
      <c r="B88" t="s">
        <v>328</v>
      </c>
      <c r="C88" t="s">
        <v>329</v>
      </c>
      <c r="D88" t="s">
        <v>127</v>
      </c>
      <c r="E88" t="s">
        <v>127</v>
      </c>
      <c r="F88" t="s">
        <v>328</v>
      </c>
      <c r="L88" t="s">
        <v>312</v>
      </c>
      <c r="M88" t="s">
        <v>24</v>
      </c>
      <c r="N88" t="s">
        <v>25</v>
      </c>
      <c r="P88" s="11" t="s">
        <v>328</v>
      </c>
      <c r="Q88" s="12" t="s">
        <v>328</v>
      </c>
      <c r="R88" s="12" t="s">
        <v>328</v>
      </c>
      <c r="S88" s="12" t="b">
        <v>1</v>
      </c>
      <c r="T88" s="12" t="b">
        <v>1</v>
      </c>
      <c r="U88" s="12">
        <v>1</v>
      </c>
      <c r="V88" s="12" t="s">
        <v>329</v>
      </c>
      <c r="W88" s="12" t="s">
        <v>569</v>
      </c>
      <c r="X88" s="12" t="b">
        <v>0</v>
      </c>
      <c r="Y88" s="12" t="b">
        <v>1</v>
      </c>
      <c r="Z88" s="12">
        <v>3</v>
      </c>
      <c r="AA88" s="12">
        <v>1</v>
      </c>
      <c r="AB88" s="12" t="s">
        <v>328</v>
      </c>
      <c r="AC88" s="12" t="s">
        <v>570</v>
      </c>
      <c r="AD88" s="13" t="b">
        <v>1</v>
      </c>
    </row>
    <row r="89" spans="1:30">
      <c r="A89" t="s">
        <v>330</v>
      </c>
      <c r="B89" t="s">
        <v>331</v>
      </c>
      <c r="C89" t="s">
        <v>332</v>
      </c>
      <c r="D89" t="s">
        <v>79</v>
      </c>
      <c r="E89" t="s">
        <v>20</v>
      </c>
      <c r="G89" t="s">
        <v>330</v>
      </c>
      <c r="L89" t="s">
        <v>334</v>
      </c>
      <c r="M89" t="s">
        <v>24</v>
      </c>
      <c r="N89" t="s">
        <v>31</v>
      </c>
      <c r="P89" s="11" t="s">
        <v>333</v>
      </c>
      <c r="Q89" s="12" t="s">
        <v>331</v>
      </c>
      <c r="R89" s="12" t="s">
        <v>331</v>
      </c>
      <c r="S89" s="12" t="b">
        <v>1</v>
      </c>
      <c r="T89" s="12" t="b">
        <v>1</v>
      </c>
      <c r="U89" s="12">
        <v>1</v>
      </c>
      <c r="V89" s="12" t="s">
        <v>332</v>
      </c>
      <c r="W89" s="12" t="s">
        <v>769</v>
      </c>
      <c r="X89" s="12" t="b">
        <v>0</v>
      </c>
      <c r="Y89" s="12" t="b">
        <v>1</v>
      </c>
      <c r="Z89" s="12">
        <v>3</v>
      </c>
      <c r="AA89" s="12">
        <v>0.93659999999999999</v>
      </c>
      <c r="AB89" s="12" t="s">
        <v>331</v>
      </c>
      <c r="AC89" s="12" t="s">
        <v>1579</v>
      </c>
      <c r="AD89" s="13" t="b">
        <v>1</v>
      </c>
    </row>
    <row r="90" spans="1:30">
      <c r="A90" t="s">
        <v>335</v>
      </c>
      <c r="B90" t="s">
        <v>335</v>
      </c>
      <c r="C90" t="s">
        <v>336</v>
      </c>
      <c r="D90" t="s">
        <v>79</v>
      </c>
      <c r="E90" t="s">
        <v>20</v>
      </c>
      <c r="G90" t="s">
        <v>338</v>
      </c>
      <c r="L90" t="s">
        <v>334</v>
      </c>
      <c r="M90" t="s">
        <v>24</v>
      </c>
      <c r="N90" t="s">
        <v>31</v>
      </c>
      <c r="P90" s="11" t="s">
        <v>337</v>
      </c>
      <c r="Q90" s="12" t="s">
        <v>335</v>
      </c>
      <c r="R90" s="12" t="s">
        <v>335</v>
      </c>
      <c r="S90" s="12" t="b">
        <v>1</v>
      </c>
      <c r="T90" s="12" t="b">
        <v>1</v>
      </c>
      <c r="U90" s="12">
        <v>1</v>
      </c>
      <c r="V90" s="12" t="s">
        <v>336</v>
      </c>
      <c r="W90" s="12" t="s">
        <v>336</v>
      </c>
      <c r="X90" s="12" t="b">
        <v>1</v>
      </c>
      <c r="Y90" s="12" t="b">
        <v>1</v>
      </c>
      <c r="Z90" s="12">
        <v>1</v>
      </c>
      <c r="AA90" s="12">
        <v>1</v>
      </c>
      <c r="AB90" s="12" t="s">
        <v>1580</v>
      </c>
      <c r="AC90" s="12" t="s">
        <v>1581</v>
      </c>
      <c r="AD90" s="13" t="b">
        <v>1</v>
      </c>
    </row>
    <row r="91" spans="1:30">
      <c r="A91" t="s">
        <v>339</v>
      </c>
      <c r="B91" t="s">
        <v>340</v>
      </c>
      <c r="C91" t="s">
        <v>341</v>
      </c>
      <c r="D91" t="s">
        <v>127</v>
      </c>
      <c r="E91" t="s">
        <v>127</v>
      </c>
      <c r="G91" t="s">
        <v>342</v>
      </c>
      <c r="L91" t="s">
        <v>334</v>
      </c>
      <c r="M91" t="s">
        <v>24</v>
      </c>
      <c r="N91" t="s">
        <v>31</v>
      </c>
      <c r="P91" s="11" t="s">
        <v>339</v>
      </c>
      <c r="Q91" s="12" t="s">
        <v>340</v>
      </c>
      <c r="R91" s="12" t="s">
        <v>340</v>
      </c>
      <c r="S91" s="12" t="b">
        <v>1</v>
      </c>
      <c r="T91" s="12" t="b">
        <v>1</v>
      </c>
      <c r="U91" s="12">
        <v>1</v>
      </c>
      <c r="V91" s="12" t="s">
        <v>341</v>
      </c>
      <c r="W91" s="12" t="s">
        <v>341</v>
      </c>
      <c r="X91" s="12" t="b">
        <v>1</v>
      </c>
      <c r="Y91" s="12" t="b">
        <v>1</v>
      </c>
      <c r="Z91" s="12">
        <v>1</v>
      </c>
      <c r="AA91" s="12">
        <v>1</v>
      </c>
      <c r="AB91" s="12" t="s">
        <v>340</v>
      </c>
      <c r="AC91" s="12" t="s">
        <v>341</v>
      </c>
      <c r="AD91" s="13" t="b">
        <v>1</v>
      </c>
    </row>
    <row r="92" spans="1:30">
      <c r="A92" t="s">
        <v>343</v>
      </c>
      <c r="B92" t="s">
        <v>344</v>
      </c>
      <c r="C92" t="s">
        <v>345</v>
      </c>
      <c r="D92" t="s">
        <v>19</v>
      </c>
      <c r="E92" t="s">
        <v>20</v>
      </c>
      <c r="F92" s="44" t="s">
        <v>346</v>
      </c>
      <c r="G92" t="s">
        <v>347</v>
      </c>
      <c r="L92" t="s">
        <v>334</v>
      </c>
      <c r="M92" t="s">
        <v>24</v>
      </c>
      <c r="N92" t="s">
        <v>25</v>
      </c>
      <c r="P92" s="11" t="s">
        <v>346</v>
      </c>
      <c r="Q92" s="12" t="s">
        <v>344</v>
      </c>
      <c r="R92" s="12" t="s">
        <v>344</v>
      </c>
      <c r="S92" s="12" t="b">
        <v>1</v>
      </c>
      <c r="T92" s="12" t="b">
        <v>1</v>
      </c>
      <c r="U92" s="12">
        <v>1</v>
      </c>
      <c r="V92" s="12" t="s">
        <v>345</v>
      </c>
      <c r="W92" s="12" t="s">
        <v>574</v>
      </c>
      <c r="X92" s="12" t="b">
        <v>0</v>
      </c>
      <c r="Y92" s="12" t="b">
        <v>1</v>
      </c>
      <c r="Z92" s="12">
        <v>3</v>
      </c>
      <c r="AA92" s="12">
        <v>0.94830000000000003</v>
      </c>
      <c r="AB92" s="12" t="s">
        <v>1582</v>
      </c>
      <c r="AC92" s="12" t="s">
        <v>1583</v>
      </c>
      <c r="AD92" s="13" t="b">
        <v>1</v>
      </c>
    </row>
    <row r="93" spans="1:30">
      <c r="A93" t="s">
        <v>348</v>
      </c>
      <c r="B93" t="s">
        <v>349</v>
      </c>
      <c r="C93" t="s">
        <v>350</v>
      </c>
      <c r="D93" t="s">
        <v>127</v>
      </c>
      <c r="E93" t="s">
        <v>127</v>
      </c>
      <c r="F93" s="43" t="s">
        <v>351</v>
      </c>
      <c r="G93" t="s">
        <v>352</v>
      </c>
      <c r="L93" t="s">
        <v>334</v>
      </c>
      <c r="M93" t="s">
        <v>24</v>
      </c>
      <c r="N93" t="s">
        <v>25</v>
      </c>
      <c r="P93" s="11" t="s">
        <v>351</v>
      </c>
      <c r="Q93" s="12" t="s">
        <v>349</v>
      </c>
      <c r="R93" s="12" t="s">
        <v>349</v>
      </c>
      <c r="S93" s="12" t="b">
        <v>1</v>
      </c>
      <c r="T93" s="12" t="b">
        <v>1</v>
      </c>
      <c r="U93" s="12">
        <v>1</v>
      </c>
      <c r="V93" s="12" t="s">
        <v>350</v>
      </c>
      <c r="W93" s="12" t="s">
        <v>1584</v>
      </c>
      <c r="X93" s="12" t="b">
        <v>0</v>
      </c>
      <c r="Y93" s="12" t="b">
        <v>1</v>
      </c>
      <c r="Z93" s="12">
        <v>3</v>
      </c>
      <c r="AA93" s="12">
        <v>1</v>
      </c>
      <c r="AB93" s="12" t="s">
        <v>349</v>
      </c>
      <c r="AC93" s="12" t="s">
        <v>1585</v>
      </c>
      <c r="AD93" s="13" t="b">
        <v>1</v>
      </c>
    </row>
    <row r="94" spans="1:30">
      <c r="A94" t="s">
        <v>353</v>
      </c>
      <c r="B94" t="s">
        <v>241</v>
      </c>
      <c r="C94" t="s">
        <v>242</v>
      </c>
      <c r="D94" t="s">
        <v>19</v>
      </c>
      <c r="E94" t="s">
        <v>20</v>
      </c>
      <c r="G94" t="s">
        <v>355</v>
      </c>
      <c r="L94" t="s">
        <v>334</v>
      </c>
      <c r="M94" t="s">
        <v>24</v>
      </c>
      <c r="N94" t="s">
        <v>31</v>
      </c>
      <c r="P94" s="11" t="s">
        <v>354</v>
      </c>
      <c r="Q94" s="12" t="s">
        <v>241</v>
      </c>
      <c r="R94" s="12" t="s">
        <v>241</v>
      </c>
      <c r="S94" s="12" t="b">
        <v>1</v>
      </c>
      <c r="T94" s="12" t="b">
        <v>1</v>
      </c>
      <c r="U94" s="12">
        <v>1</v>
      </c>
      <c r="V94" s="12" t="s">
        <v>242</v>
      </c>
      <c r="W94" s="12" t="s">
        <v>1586</v>
      </c>
      <c r="X94" s="12" t="b">
        <v>0</v>
      </c>
      <c r="Y94" s="12" t="b">
        <v>0</v>
      </c>
      <c r="Z94" s="12">
        <v>9</v>
      </c>
      <c r="AA94" s="12">
        <v>0.79410000000000003</v>
      </c>
      <c r="AB94" s="12" t="s">
        <v>1013</v>
      </c>
      <c r="AC94" s="12" t="s">
        <v>1587</v>
      </c>
      <c r="AD94" s="13" t="b">
        <v>1</v>
      </c>
    </row>
    <row r="95" spans="1:30">
      <c r="A95" s="2" t="s">
        <v>356</v>
      </c>
      <c r="B95" s="2" t="s">
        <v>266</v>
      </c>
      <c r="C95" s="2" t="s">
        <v>357</v>
      </c>
      <c r="D95" s="2" t="s">
        <v>79</v>
      </c>
      <c r="E95" s="2" t="s">
        <v>20</v>
      </c>
      <c r="F95" s="2"/>
      <c r="G95" s="2" t="s">
        <v>358</v>
      </c>
      <c r="H95" s="2"/>
      <c r="I95" s="2"/>
      <c r="J95" s="2"/>
      <c r="K95" s="2"/>
      <c r="L95" s="2" t="s">
        <v>334</v>
      </c>
      <c r="M95" s="2" t="s">
        <v>24</v>
      </c>
      <c r="N95" s="2" t="s">
        <v>49</v>
      </c>
      <c r="P95" s="11" t="s">
        <v>268</v>
      </c>
      <c r="Q95" s="12" t="s">
        <v>266</v>
      </c>
      <c r="R95" s="12" t="s">
        <v>266</v>
      </c>
      <c r="S95" s="12" t="b">
        <v>1</v>
      </c>
      <c r="T95" s="12" t="b">
        <v>1</v>
      </c>
      <c r="U95" s="12">
        <v>1</v>
      </c>
      <c r="V95" s="12" t="s">
        <v>357</v>
      </c>
      <c r="W95" s="12" t="s">
        <v>267</v>
      </c>
      <c r="X95" s="12" t="b">
        <v>0</v>
      </c>
      <c r="Y95" s="12" t="b">
        <v>1</v>
      </c>
      <c r="Z95" s="12">
        <v>4</v>
      </c>
      <c r="AA95" s="12">
        <v>0.88480000000000003</v>
      </c>
      <c r="AB95" s="12" t="s">
        <v>266</v>
      </c>
      <c r="AC95" s="12" t="s">
        <v>1588</v>
      </c>
      <c r="AD95" s="13" t="b">
        <v>1</v>
      </c>
    </row>
    <row r="96" spans="1:30">
      <c r="A96" t="s">
        <v>359</v>
      </c>
      <c r="B96" t="s">
        <v>360</v>
      </c>
      <c r="C96" t="s">
        <v>361</v>
      </c>
      <c r="D96" t="s">
        <v>127</v>
      </c>
      <c r="E96" t="s">
        <v>127</v>
      </c>
      <c r="F96" t="s">
        <v>362</v>
      </c>
      <c r="G96" t="s">
        <v>363</v>
      </c>
      <c r="L96" t="s">
        <v>334</v>
      </c>
      <c r="M96" t="s">
        <v>24</v>
      </c>
      <c r="N96" t="s">
        <v>25</v>
      </c>
      <c r="P96" s="11" t="s">
        <v>362</v>
      </c>
      <c r="Q96" s="12" t="s">
        <v>360</v>
      </c>
      <c r="R96" s="12" t="s">
        <v>360</v>
      </c>
      <c r="S96" s="12" t="b">
        <v>1</v>
      </c>
      <c r="T96" s="12" t="b">
        <v>1</v>
      </c>
      <c r="U96" s="12">
        <v>1</v>
      </c>
      <c r="V96" s="12" t="s">
        <v>361</v>
      </c>
      <c r="W96" s="12" t="s">
        <v>1589</v>
      </c>
      <c r="X96" s="12" t="b">
        <v>0</v>
      </c>
      <c r="Y96" s="12" t="b">
        <v>1</v>
      </c>
      <c r="Z96" s="12">
        <v>4</v>
      </c>
      <c r="AA96" s="12">
        <v>0.98409999999999997</v>
      </c>
      <c r="AB96" s="12" t="s">
        <v>1590</v>
      </c>
      <c r="AC96" s="12" t="s">
        <v>1591</v>
      </c>
      <c r="AD96" s="13" t="b">
        <v>1</v>
      </c>
    </row>
    <row r="97" spans="1:30">
      <c r="A97" t="s">
        <v>364</v>
      </c>
      <c r="B97" t="s">
        <v>365</v>
      </c>
      <c r="C97" t="s">
        <v>366</v>
      </c>
      <c r="D97" t="s">
        <v>19</v>
      </c>
      <c r="E97" t="s">
        <v>20</v>
      </c>
      <c r="F97" t="s">
        <v>367</v>
      </c>
      <c r="G97" t="s">
        <v>368</v>
      </c>
      <c r="L97" t="s">
        <v>334</v>
      </c>
      <c r="M97" t="s">
        <v>24</v>
      </c>
      <c r="N97" t="s">
        <v>25</v>
      </c>
      <c r="P97" s="11" t="s">
        <v>367</v>
      </c>
      <c r="Q97" s="12" t="s">
        <v>365</v>
      </c>
      <c r="R97" s="12" t="s">
        <v>365</v>
      </c>
      <c r="S97" s="12" t="b">
        <v>1</v>
      </c>
      <c r="T97" s="12" t="b">
        <v>1</v>
      </c>
      <c r="U97" s="12">
        <v>1</v>
      </c>
      <c r="V97" s="12" t="s">
        <v>366</v>
      </c>
      <c r="W97" s="12" t="s">
        <v>366</v>
      </c>
      <c r="X97" s="12" t="b">
        <v>1</v>
      </c>
      <c r="Y97" s="12" t="b">
        <v>1</v>
      </c>
      <c r="Z97" s="12">
        <v>1</v>
      </c>
      <c r="AA97" s="12">
        <v>0.90039999999999998</v>
      </c>
      <c r="AB97" s="12" t="s">
        <v>1592</v>
      </c>
      <c r="AC97" s="12" t="s">
        <v>1593</v>
      </c>
      <c r="AD97" s="13" t="b">
        <v>1</v>
      </c>
    </row>
    <row r="98" spans="1:30">
      <c r="A98" t="s">
        <v>37</v>
      </c>
      <c r="B98" t="s">
        <v>38</v>
      </c>
      <c r="C98" t="s">
        <v>369</v>
      </c>
      <c r="D98" t="s">
        <v>127</v>
      </c>
      <c r="E98" t="s">
        <v>127</v>
      </c>
      <c r="F98" t="s">
        <v>370</v>
      </c>
      <c r="G98" t="s">
        <v>371</v>
      </c>
      <c r="L98" t="s">
        <v>372</v>
      </c>
      <c r="M98" t="s">
        <v>24</v>
      </c>
      <c r="N98" t="s">
        <v>31</v>
      </c>
      <c r="P98" s="11" t="s">
        <v>370</v>
      </c>
      <c r="Q98" s="12" t="s">
        <v>38</v>
      </c>
      <c r="R98" s="12" t="s">
        <v>38</v>
      </c>
      <c r="S98" s="12" t="b">
        <v>1</v>
      </c>
      <c r="T98" s="12" t="b">
        <v>1</v>
      </c>
      <c r="U98" s="12">
        <v>1</v>
      </c>
      <c r="V98" s="12" t="s">
        <v>369</v>
      </c>
      <c r="W98" s="12" t="s">
        <v>1594</v>
      </c>
      <c r="X98" s="12" t="b">
        <v>0</v>
      </c>
      <c r="Y98" s="12" t="b">
        <v>1</v>
      </c>
      <c r="Z98" s="12">
        <v>2</v>
      </c>
      <c r="AA98" s="12">
        <v>1</v>
      </c>
      <c r="AB98" s="12" t="s">
        <v>989</v>
      </c>
      <c r="AC98" s="12" t="s">
        <v>1595</v>
      </c>
      <c r="AD98" s="13" t="b">
        <v>1</v>
      </c>
    </row>
    <row r="99" spans="1:30">
      <c r="A99" t="s">
        <v>373</v>
      </c>
      <c r="B99" t="s">
        <v>271</v>
      </c>
      <c r="C99" t="s">
        <v>374</v>
      </c>
      <c r="D99" t="s">
        <v>127</v>
      </c>
      <c r="E99" t="s">
        <v>127</v>
      </c>
      <c r="F99" t="s">
        <v>273</v>
      </c>
      <c r="G99" t="s">
        <v>375</v>
      </c>
      <c r="L99" t="s">
        <v>372</v>
      </c>
      <c r="M99" t="s">
        <v>24</v>
      </c>
      <c r="N99" t="s">
        <v>25</v>
      </c>
      <c r="P99" s="11" t="s">
        <v>273</v>
      </c>
      <c r="Q99" s="12" t="s">
        <v>271</v>
      </c>
      <c r="R99" s="12" t="s">
        <v>271</v>
      </c>
      <c r="S99" s="12" t="b">
        <v>1</v>
      </c>
      <c r="T99" s="12" t="b">
        <v>1</v>
      </c>
      <c r="U99" s="12">
        <v>1</v>
      </c>
      <c r="V99" s="12" t="s">
        <v>374</v>
      </c>
      <c r="W99" s="12" t="s">
        <v>1596</v>
      </c>
      <c r="X99" s="12" t="b">
        <v>0</v>
      </c>
      <c r="Y99" s="12" t="b">
        <v>1</v>
      </c>
      <c r="Z99" s="12">
        <v>3</v>
      </c>
      <c r="AA99" s="12">
        <v>0.95899999999999996</v>
      </c>
      <c r="AB99" s="12" t="s">
        <v>271</v>
      </c>
      <c r="AC99" s="12" t="s">
        <v>1597</v>
      </c>
      <c r="AD99" s="13" t="b">
        <v>1</v>
      </c>
    </row>
    <row r="100" spans="1:30">
      <c r="A100" t="s">
        <v>376</v>
      </c>
      <c r="B100" t="s">
        <v>377</v>
      </c>
      <c r="C100" t="s">
        <v>378</v>
      </c>
      <c r="D100" t="s">
        <v>379</v>
      </c>
      <c r="E100" t="s">
        <v>379</v>
      </c>
      <c r="F100" t="s">
        <v>380</v>
      </c>
      <c r="G100" t="s">
        <v>381</v>
      </c>
      <c r="L100" t="s">
        <v>372</v>
      </c>
      <c r="M100" t="s">
        <v>24</v>
      </c>
      <c r="N100" s="2" t="s">
        <v>49</v>
      </c>
      <c r="P100" s="11" t="s">
        <v>380</v>
      </c>
      <c r="Q100" s="12" t="s">
        <v>377</v>
      </c>
      <c r="R100" s="12" t="s">
        <v>377</v>
      </c>
      <c r="S100" s="12" t="b">
        <v>1</v>
      </c>
      <c r="T100" s="12" t="b">
        <v>1</v>
      </c>
      <c r="U100" s="12">
        <v>1</v>
      </c>
      <c r="V100" s="12" t="s">
        <v>378</v>
      </c>
      <c r="W100" s="12" t="s">
        <v>1598</v>
      </c>
      <c r="X100" s="12" t="b">
        <v>0</v>
      </c>
      <c r="Y100" s="12" t="b">
        <v>1</v>
      </c>
      <c r="Z100" s="12">
        <v>4</v>
      </c>
      <c r="AA100" s="12">
        <v>0.98319999999999996</v>
      </c>
      <c r="AB100" s="12" t="s">
        <v>1599</v>
      </c>
      <c r="AC100" s="12" t="s">
        <v>1600</v>
      </c>
      <c r="AD100" s="13" t="b">
        <v>1</v>
      </c>
    </row>
    <row r="101" spans="1:30">
      <c r="A101" t="s">
        <v>382</v>
      </c>
      <c r="B101" t="s">
        <v>383</v>
      </c>
      <c r="C101" t="s">
        <v>384</v>
      </c>
      <c r="D101" t="s">
        <v>127</v>
      </c>
      <c r="E101" t="s">
        <v>127</v>
      </c>
      <c r="F101" t="s">
        <v>385</v>
      </c>
      <c r="G101" t="s">
        <v>386</v>
      </c>
      <c r="L101" t="s">
        <v>372</v>
      </c>
      <c r="M101" t="s">
        <v>24</v>
      </c>
      <c r="N101" t="s">
        <v>31</v>
      </c>
      <c r="P101" s="11" t="s">
        <v>385</v>
      </c>
      <c r="Q101" s="12" t="s">
        <v>383</v>
      </c>
      <c r="R101" s="12" t="s">
        <v>383</v>
      </c>
      <c r="S101" s="12" t="b">
        <v>1</v>
      </c>
      <c r="T101" s="12" t="b">
        <v>1</v>
      </c>
      <c r="U101" s="12">
        <v>1</v>
      </c>
      <c r="V101" s="12" t="s">
        <v>384</v>
      </c>
      <c r="W101" s="12" t="s">
        <v>1496</v>
      </c>
      <c r="X101" s="12" t="b">
        <v>0</v>
      </c>
      <c r="Y101" s="12" t="b">
        <v>1</v>
      </c>
      <c r="Z101" s="12">
        <v>4</v>
      </c>
      <c r="AA101" s="12">
        <v>0.97109999999999996</v>
      </c>
      <c r="AB101" s="12" t="s">
        <v>1601</v>
      </c>
      <c r="AC101" s="12" t="s">
        <v>1602</v>
      </c>
      <c r="AD101" s="13" t="b">
        <v>1</v>
      </c>
    </row>
    <row r="102" spans="1:30">
      <c r="A102" t="s">
        <v>382</v>
      </c>
      <c r="B102" t="s">
        <v>383</v>
      </c>
      <c r="C102" t="s">
        <v>384</v>
      </c>
      <c r="D102" t="s">
        <v>127</v>
      </c>
      <c r="E102" t="s">
        <v>127</v>
      </c>
      <c r="F102" t="s">
        <v>385</v>
      </c>
      <c r="G102" t="s">
        <v>387</v>
      </c>
      <c r="L102" t="s">
        <v>372</v>
      </c>
      <c r="M102" t="s">
        <v>24</v>
      </c>
      <c r="N102" t="s">
        <v>31</v>
      </c>
      <c r="P102" s="11" t="s">
        <v>385</v>
      </c>
      <c r="Q102" s="12" t="s">
        <v>383</v>
      </c>
      <c r="R102" s="12" t="s">
        <v>383</v>
      </c>
      <c r="S102" s="12" t="b">
        <v>1</v>
      </c>
      <c r="T102" s="12" t="b">
        <v>1</v>
      </c>
      <c r="U102" s="12">
        <v>1</v>
      </c>
      <c r="V102" s="12" t="s">
        <v>384</v>
      </c>
      <c r="W102" s="12" t="s">
        <v>1496</v>
      </c>
      <c r="X102" s="12" t="b">
        <v>0</v>
      </c>
      <c r="Y102" s="12" t="b">
        <v>1</v>
      </c>
      <c r="Z102" s="12">
        <v>4</v>
      </c>
      <c r="AA102" s="12">
        <v>0.97109999999999996</v>
      </c>
      <c r="AB102" s="12" t="s">
        <v>1601</v>
      </c>
      <c r="AC102" s="12" t="s">
        <v>1602</v>
      </c>
      <c r="AD102" s="13" t="b">
        <v>1</v>
      </c>
    </row>
    <row r="103" spans="1:30">
      <c r="A103" t="s">
        <v>388</v>
      </c>
      <c r="B103" t="s">
        <v>389</v>
      </c>
      <c r="C103" t="s">
        <v>390</v>
      </c>
      <c r="D103" t="s">
        <v>127</v>
      </c>
      <c r="E103" t="s">
        <v>127</v>
      </c>
      <c r="F103" t="s">
        <v>391</v>
      </c>
      <c r="G103" t="s">
        <v>392</v>
      </c>
      <c r="L103" t="s">
        <v>372</v>
      </c>
      <c r="M103" t="s">
        <v>24</v>
      </c>
      <c r="N103" t="s">
        <v>25</v>
      </c>
      <c r="P103" s="11" t="s">
        <v>391</v>
      </c>
      <c r="Q103" s="12" t="s">
        <v>389</v>
      </c>
      <c r="R103" s="12" t="s">
        <v>389</v>
      </c>
      <c r="S103" s="12" t="b">
        <v>1</v>
      </c>
      <c r="T103" s="12" t="b">
        <v>1</v>
      </c>
      <c r="U103" s="12">
        <v>1</v>
      </c>
      <c r="V103" s="12" t="s">
        <v>390</v>
      </c>
      <c r="W103" s="12" t="s">
        <v>1603</v>
      </c>
      <c r="X103" s="12" t="b">
        <v>0</v>
      </c>
      <c r="Y103" s="12" t="b">
        <v>0</v>
      </c>
      <c r="Z103" s="12">
        <v>12</v>
      </c>
      <c r="AA103" s="12">
        <v>0.99039999999999995</v>
      </c>
      <c r="AB103" s="12" t="s">
        <v>1604</v>
      </c>
      <c r="AC103" s="12" t="s">
        <v>1605</v>
      </c>
      <c r="AD103" s="13" t="b">
        <v>1</v>
      </c>
    </row>
    <row r="104" spans="1:30">
      <c r="A104" t="s">
        <v>393</v>
      </c>
      <c r="B104" t="s">
        <v>344</v>
      </c>
      <c r="C104" t="s">
        <v>394</v>
      </c>
      <c r="D104" t="s">
        <v>127</v>
      </c>
      <c r="E104" t="s">
        <v>127</v>
      </c>
      <c r="F104" t="s">
        <v>346</v>
      </c>
      <c r="G104" t="s">
        <v>395</v>
      </c>
      <c r="L104" t="s">
        <v>372</v>
      </c>
      <c r="M104" t="s">
        <v>24</v>
      </c>
      <c r="N104" t="s">
        <v>25</v>
      </c>
      <c r="O104" t="s">
        <v>1132</v>
      </c>
      <c r="P104" s="11" t="s">
        <v>346</v>
      </c>
      <c r="Q104" s="12" t="s">
        <v>344</v>
      </c>
      <c r="R104" s="12" t="s">
        <v>344</v>
      </c>
      <c r="S104" s="12" t="b">
        <v>1</v>
      </c>
      <c r="T104" s="12" t="b">
        <v>1</v>
      </c>
      <c r="U104" s="12">
        <v>1</v>
      </c>
      <c r="V104" s="12" t="s">
        <v>394</v>
      </c>
      <c r="W104" s="12" t="s">
        <v>574</v>
      </c>
      <c r="X104" s="12" t="b">
        <v>0</v>
      </c>
      <c r="Y104" s="12" t="b">
        <v>1</v>
      </c>
      <c r="Z104" s="12">
        <v>4</v>
      </c>
      <c r="AA104" s="12">
        <v>0.94830000000000003</v>
      </c>
      <c r="AB104" s="12" t="s">
        <v>1582</v>
      </c>
      <c r="AC104" s="12" t="s">
        <v>1583</v>
      </c>
      <c r="AD104" s="13" t="b">
        <v>1</v>
      </c>
    </row>
    <row r="105" spans="1:30">
      <c r="A105" t="s">
        <v>396</v>
      </c>
      <c r="B105" t="s">
        <v>397</v>
      </c>
      <c r="C105" t="s">
        <v>398</v>
      </c>
      <c r="D105" t="s">
        <v>127</v>
      </c>
      <c r="E105" t="s">
        <v>127</v>
      </c>
      <c r="F105" t="s">
        <v>399</v>
      </c>
      <c r="G105" t="s">
        <v>400</v>
      </c>
      <c r="L105" t="s">
        <v>372</v>
      </c>
      <c r="M105" t="s">
        <v>24</v>
      </c>
      <c r="N105" t="s">
        <v>25</v>
      </c>
      <c r="P105" s="11" t="s">
        <v>399</v>
      </c>
      <c r="Q105" s="12" t="s">
        <v>397</v>
      </c>
      <c r="R105" s="12" t="s">
        <v>397</v>
      </c>
      <c r="S105" s="12" t="b">
        <v>1</v>
      </c>
      <c r="T105" s="12" t="b">
        <v>1</v>
      </c>
      <c r="U105" s="12">
        <v>1</v>
      </c>
      <c r="V105" s="12" t="s">
        <v>398</v>
      </c>
      <c r="W105" s="12" t="s">
        <v>1606</v>
      </c>
      <c r="X105" s="12" t="b">
        <v>0</v>
      </c>
      <c r="Y105" s="12" t="b">
        <v>1</v>
      </c>
      <c r="Z105" s="12">
        <v>3</v>
      </c>
      <c r="AA105" s="12">
        <v>1</v>
      </c>
      <c r="AB105" s="12" t="s">
        <v>1607</v>
      </c>
      <c r="AC105" s="12" t="s">
        <v>1608</v>
      </c>
      <c r="AD105" s="13" t="b">
        <v>1</v>
      </c>
    </row>
    <row r="106" spans="1:30">
      <c r="A106" t="s">
        <v>401</v>
      </c>
      <c r="B106" t="s">
        <v>397</v>
      </c>
      <c r="C106" t="s">
        <v>402</v>
      </c>
      <c r="D106" t="s">
        <v>379</v>
      </c>
      <c r="E106" t="s">
        <v>379</v>
      </c>
      <c r="F106" t="s">
        <v>399</v>
      </c>
      <c r="G106" t="s">
        <v>403</v>
      </c>
      <c r="L106" t="s">
        <v>372</v>
      </c>
      <c r="M106" t="s">
        <v>24</v>
      </c>
      <c r="N106" t="s">
        <v>25</v>
      </c>
      <c r="P106" s="11" t="s">
        <v>399</v>
      </c>
      <c r="Q106" s="12" t="s">
        <v>397</v>
      </c>
      <c r="R106" s="12" t="s">
        <v>397</v>
      </c>
      <c r="S106" s="12" t="b">
        <v>1</v>
      </c>
      <c r="T106" s="12" t="b">
        <v>1</v>
      </c>
      <c r="U106" s="12">
        <v>1</v>
      </c>
      <c r="V106" s="12" t="s">
        <v>402</v>
      </c>
      <c r="W106" s="12" t="s">
        <v>1606</v>
      </c>
      <c r="X106" s="12" t="b">
        <v>0</v>
      </c>
      <c r="Y106" s="12" t="b">
        <v>1</v>
      </c>
      <c r="Z106" s="12">
        <v>4</v>
      </c>
      <c r="AA106" s="12">
        <v>1</v>
      </c>
      <c r="AB106" s="12" t="s">
        <v>1607</v>
      </c>
      <c r="AC106" s="12" t="s">
        <v>1608</v>
      </c>
      <c r="AD106" s="13" t="b">
        <v>1</v>
      </c>
    </row>
    <row r="107" spans="1:30">
      <c r="A107" t="s">
        <v>404</v>
      </c>
      <c r="B107" t="s">
        <v>405</v>
      </c>
      <c r="C107" t="s">
        <v>406</v>
      </c>
      <c r="D107" t="s">
        <v>127</v>
      </c>
      <c r="E107" t="s">
        <v>127</v>
      </c>
      <c r="F107" t="s">
        <v>407</v>
      </c>
      <c r="G107" t="s">
        <v>404</v>
      </c>
      <c r="L107" t="s">
        <v>372</v>
      </c>
      <c r="M107" t="s">
        <v>24</v>
      </c>
      <c r="N107" t="s">
        <v>25</v>
      </c>
      <c r="P107" s="11" t="s">
        <v>407</v>
      </c>
      <c r="Q107" s="12" t="s">
        <v>405</v>
      </c>
      <c r="R107" s="12" t="s">
        <v>405</v>
      </c>
      <c r="S107" s="12" t="b">
        <v>1</v>
      </c>
      <c r="T107" s="12" t="b">
        <v>1</v>
      </c>
      <c r="U107" s="12">
        <v>1</v>
      </c>
      <c r="V107" s="12" t="s">
        <v>406</v>
      </c>
      <c r="W107" s="12" t="s">
        <v>1609</v>
      </c>
      <c r="X107" s="12" t="b">
        <v>0</v>
      </c>
      <c r="Y107" s="12" t="b">
        <v>1</v>
      </c>
      <c r="Z107" s="12">
        <v>4</v>
      </c>
      <c r="AA107" s="12">
        <v>0.97030000000000005</v>
      </c>
      <c r="AB107" s="12" t="s">
        <v>405</v>
      </c>
      <c r="AC107" s="12" t="s">
        <v>1610</v>
      </c>
      <c r="AD107" s="13" t="b">
        <v>1</v>
      </c>
    </row>
    <row r="108" spans="1:30">
      <c r="A108" t="s">
        <v>408</v>
      </c>
      <c r="B108" t="s">
        <v>405</v>
      </c>
      <c r="C108" t="s">
        <v>409</v>
      </c>
      <c r="D108" t="s">
        <v>379</v>
      </c>
      <c r="E108" t="s">
        <v>379</v>
      </c>
      <c r="F108" t="s">
        <v>407</v>
      </c>
      <c r="G108" t="s">
        <v>408</v>
      </c>
      <c r="L108" t="s">
        <v>372</v>
      </c>
      <c r="M108" t="s">
        <v>24</v>
      </c>
      <c r="N108" t="s">
        <v>25</v>
      </c>
      <c r="P108" s="11" t="s">
        <v>407</v>
      </c>
      <c r="Q108" s="12" t="s">
        <v>405</v>
      </c>
      <c r="R108" s="12" t="s">
        <v>405</v>
      </c>
      <c r="S108" s="12" t="b">
        <v>1</v>
      </c>
      <c r="T108" s="12" t="b">
        <v>1</v>
      </c>
      <c r="U108" s="12">
        <v>1</v>
      </c>
      <c r="V108" s="12" t="s">
        <v>409</v>
      </c>
      <c r="W108" s="12" t="s">
        <v>1609</v>
      </c>
      <c r="X108" s="12" t="b">
        <v>0</v>
      </c>
      <c r="Y108" s="12" t="b">
        <v>1</v>
      </c>
      <c r="Z108" s="12">
        <v>5</v>
      </c>
      <c r="AA108" s="12">
        <v>0.97030000000000005</v>
      </c>
      <c r="AB108" s="12" t="s">
        <v>405</v>
      </c>
      <c r="AC108" s="12" t="s">
        <v>1610</v>
      </c>
      <c r="AD108" s="13" t="b">
        <v>1</v>
      </c>
    </row>
    <row r="109" spans="1:30">
      <c r="A109" t="s">
        <v>410</v>
      </c>
      <c r="B109" t="s">
        <v>595</v>
      </c>
      <c r="C109" t="s">
        <v>411</v>
      </c>
      <c r="D109" t="s">
        <v>127</v>
      </c>
      <c r="E109" t="s">
        <v>127</v>
      </c>
      <c r="G109" t="s">
        <v>412</v>
      </c>
      <c r="L109" t="s">
        <v>372</v>
      </c>
      <c r="M109" t="s">
        <v>24</v>
      </c>
      <c r="N109" t="s">
        <v>31</v>
      </c>
      <c r="P109" s="11" t="s">
        <v>412</v>
      </c>
      <c r="Q109" s="12" t="s">
        <v>410</v>
      </c>
      <c r="R109" s="12" t="s">
        <v>410</v>
      </c>
      <c r="S109" s="12" t="b">
        <v>1</v>
      </c>
      <c r="T109" s="12" t="b">
        <v>1</v>
      </c>
      <c r="U109" s="12">
        <v>1</v>
      </c>
      <c r="V109" s="12" t="s">
        <v>411</v>
      </c>
      <c r="W109" s="12" t="s">
        <v>411</v>
      </c>
      <c r="X109" s="12" t="b">
        <v>1</v>
      </c>
      <c r="Y109" s="12" t="b">
        <v>1</v>
      </c>
      <c r="Z109" s="12">
        <v>1</v>
      </c>
      <c r="AA109" s="12">
        <v>1.1418999999999999</v>
      </c>
      <c r="AB109" s="12" t="s">
        <v>1042</v>
      </c>
      <c r="AC109" s="12" t="s">
        <v>1522</v>
      </c>
      <c r="AD109" s="13" t="b">
        <v>1</v>
      </c>
    </row>
    <row r="110" spans="1:30">
      <c r="A110" t="s">
        <v>413</v>
      </c>
      <c r="B110" t="s">
        <v>331</v>
      </c>
      <c r="C110" t="s">
        <v>414</v>
      </c>
      <c r="D110" t="s">
        <v>127</v>
      </c>
      <c r="E110" t="s">
        <v>127</v>
      </c>
      <c r="F110" t="s">
        <v>333</v>
      </c>
      <c r="G110" t="s">
        <v>415</v>
      </c>
      <c r="L110" t="s">
        <v>372</v>
      </c>
      <c r="M110" t="s">
        <v>24</v>
      </c>
      <c r="N110" t="s">
        <v>31</v>
      </c>
      <c r="P110" s="14" t="s">
        <v>333</v>
      </c>
      <c r="Q110" s="15" t="s">
        <v>331</v>
      </c>
      <c r="R110" s="15" t="s">
        <v>331</v>
      </c>
      <c r="S110" s="15" t="b">
        <v>1</v>
      </c>
      <c r="T110" s="15" t="b">
        <v>1</v>
      </c>
      <c r="U110" s="15">
        <v>1</v>
      </c>
      <c r="V110" s="15" t="s">
        <v>414</v>
      </c>
      <c r="W110" s="15" t="s">
        <v>769</v>
      </c>
      <c r="X110" s="15" t="b">
        <v>0</v>
      </c>
      <c r="Y110" s="15" t="b">
        <v>1</v>
      </c>
      <c r="Z110" s="15">
        <v>2</v>
      </c>
      <c r="AA110" s="15">
        <v>0.93659999999999999</v>
      </c>
      <c r="AB110" s="15" t="s">
        <v>331</v>
      </c>
      <c r="AC110" s="15" t="s">
        <v>1579</v>
      </c>
      <c r="AD110" s="16" t="b">
        <v>1</v>
      </c>
    </row>
  </sheetData>
  <autoFilter ref="A15:AJ110" xr:uid="{5E0BE612-B831-4DFF-B4BD-4E14D20E8F9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6C0B0299502459BE057F60D45F7A2" ma:contentTypeVersion="17" ma:contentTypeDescription="Create a new document." ma:contentTypeScope="" ma:versionID="6e23d62fb7150e11f984414b68c1227b">
  <xsd:schema xmlns:xsd="http://www.w3.org/2001/XMLSchema" xmlns:xs="http://www.w3.org/2001/XMLSchema" xmlns:p="http://schemas.microsoft.com/office/2006/metadata/properties" xmlns:ns2="ecf2865c-a0c0-4830-9c97-c878b24eefc5" xmlns:ns3="0c3f3349-3fde-44b2-91dd-1461469ae59c" targetNamespace="http://schemas.microsoft.com/office/2006/metadata/properties" ma:root="true" ma:fieldsID="a90d4b92e403bde2b0b8c8a97853fd2e" ns2:_="" ns3:_="">
    <xsd:import namespace="ecf2865c-a0c0-4830-9c97-c878b24eefc5"/>
    <xsd:import namespace="0c3f3349-3fde-44b2-91dd-1461469ae5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2865c-a0c0-4830-9c97-c878b24eef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4104d38-e8e4-4984-a0bc-6afa79dcdd70}" ma:internalName="TaxCatchAll" ma:showField="CatchAllData" ma:web="ecf2865c-a0c0-4830-9c97-c878b24ee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f3349-3fde-44b2-91dd-1461469ae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36efef-33c7-4880-a5c8-aa8024ac5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f3349-3fde-44b2-91dd-1461469ae59c">
      <Terms xmlns="http://schemas.microsoft.com/office/infopath/2007/PartnerControls"/>
    </lcf76f155ced4ddcb4097134ff3c332f>
    <_Flow_SignoffStatus xmlns="0c3f3349-3fde-44b2-91dd-1461469ae59c" xsi:nil="true"/>
    <TaxCatchAll xmlns="ecf2865c-a0c0-4830-9c97-c878b24eef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BE5140-CC14-4B3B-8970-F4E50BF3029C}"/>
</file>

<file path=customXml/itemProps2.xml><?xml version="1.0" encoding="utf-8"?>
<ds:datastoreItem xmlns:ds="http://schemas.openxmlformats.org/officeDocument/2006/customXml" ds:itemID="{A6A747CE-7802-4224-8C8B-BAE83FD07DE0}"/>
</file>

<file path=customXml/itemProps3.xml><?xml version="1.0" encoding="utf-8"?>
<ds:datastoreItem xmlns:ds="http://schemas.openxmlformats.org/officeDocument/2006/customXml" ds:itemID="{CA4493AC-C7D6-4821-966F-5AB15186D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Vaidya</dc:creator>
  <cp:keywords/>
  <dc:description/>
  <cp:lastModifiedBy/>
  <cp:revision/>
  <dcterms:created xsi:type="dcterms:W3CDTF">2026-04-10T05:48:03Z</dcterms:created>
  <dcterms:modified xsi:type="dcterms:W3CDTF">2026-05-21T18:43:41Z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0x010100E2D6C0B0299502459BE057F60D45F7A2</vt:lpwstr>
  </property>
  <property fmtid="{D5CDD505-2E9C-101B-9397-08002B2CF9AE}" pid="3" name="MediaServiceImageTags">
    <vt:lpwstr/>
  </property>
</Properties>
</file>